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希望入力シート" sheetId="1" r:id="rId1"/>
  </sheets>
</workbook>
</file>

<file path=xl/styles.xml><?xml version="1.0" encoding="utf-8"?>
<styleSheet xmlns="http://schemas.openxmlformats.org/spreadsheetml/2006/main">
  <fonts count="4">
    <font>
      <sz val="11"/>
      <name val="游ゴシック"/>
    </font>
    <font>
      <b/>
      <sz val="11"/>
      <name val="游ゴシック"/>
    </font>
    <font>
      <b/>
      <sz val="12"/>
      <name val="游ゴシック"/>
      <color rgb="1E293B"/>
    </font>
    <font>
      <b/>
      <sz val="11"/>
      <name val="游ゴシック"/>
      <color rgb="DC2626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FF6FF"/>
      </patternFill>
    </fill>
    <fill>
      <patternFill patternType="solid">
        <fgColor rgb="FEF2F2"/>
      </patternFill>
    </fill>
    <fill>
      <patternFill patternType="solid">
        <fgColor rgb="F0FDF4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>
      <alignment horizontal="left" vertical="center"/>
    </xf>
    <xf numFmtId="0" fontId="1" fillId="2" borderId="1" xfId="0">
      <alignment horizontal="center" vertical="center"/>
    </xf>
    <xf numFmtId="0" fontId="1" fillId="3" borderId="1" xfId="0">
      <alignment horizontal="center" vertical="center"/>
    </xf>
    <xf numFmtId="0" fontId="1" fillId="4" borderId="1" xfId="0">
      <alignment horizontal="center" vertical="center"/>
    </xf>
    <xf numFmtId="0" fontId="0" fillId="0" borderId="1" xfId="0">
      <alignment horizontal="center" vertical="center"/>
    </xf>
    <xf numFmtId="0" fontId="0" fillId="0" borderId="1" xfId="0">
      <alignment horizontal="left" vertical="center"/>
    </xf>
    <xf numFmtId="0" fontId="1" fillId="5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6" customWidth="1"/>
    <col min="3" max="30" width="6" customWidth="1"/>
    <col min="31" max="32" width="11" customWidth="1"/>
    <col min="33" max="33" width="162" customWidth="1"/>
  </cols>
  <sheetData>
    <row r="1" ht="24" customHeight="1">
      <c r="A1" s="1" t="inlineStr">
        <is>
          <t>4月1日～4月28日 スタッフ希望勤務入力シート（希望勤務はプルダウンから選択してください）</t>
        </is>
      </c>
    </row>
    <row r="2" ht="22" customHeight="1">
      <c r="A2" s="2" t="inlineStr">
        <is>
          <t>No</t>
        </is>
      </c>
      <c r="B2" s="2" t="inlineStr">
        <is>
          <t>氏名</t>
        </is>
      </c>
      <c r="C2" s="2" t="inlineStr">
        <is>
          <t>4/1</t>
        </is>
      </c>
      <c r="D2" s="2" t="inlineStr">
        <is>
          <t>4/2</t>
        </is>
      </c>
      <c r="E2" s="2" t="inlineStr">
        <is>
          <t>4/3</t>
        </is>
      </c>
      <c r="F2" s="2" t="inlineStr">
        <is>
          <t>4/4</t>
        </is>
      </c>
      <c r="G2" s="2" t="inlineStr">
        <is>
          <t>4/5</t>
        </is>
      </c>
      <c r="H2" s="2" t="inlineStr">
        <is>
          <t>4/6</t>
        </is>
      </c>
      <c r="I2" s="2" t="inlineStr">
        <is>
          <t>4/7</t>
        </is>
      </c>
      <c r="J2" s="2" t="inlineStr">
        <is>
          <t>4/8</t>
        </is>
      </c>
      <c r="K2" s="2" t="inlineStr">
        <is>
          <t>4/9</t>
        </is>
      </c>
      <c r="L2" s="2" t="inlineStr">
        <is>
          <t>4/10</t>
        </is>
      </c>
      <c r="M2" s="2" t="inlineStr">
        <is>
          <t>4/11</t>
        </is>
      </c>
      <c r="N2" s="2" t="inlineStr">
        <is>
          <t>4/12</t>
        </is>
      </c>
      <c r="O2" s="2" t="inlineStr">
        <is>
          <t>4/13</t>
        </is>
      </c>
      <c r="P2" s="2" t="inlineStr">
        <is>
          <t>4/14</t>
        </is>
      </c>
      <c r="Q2" s="2" t="inlineStr">
        <is>
          <t>4/15</t>
        </is>
      </c>
      <c r="R2" s="2" t="inlineStr">
        <is>
          <t>4/16</t>
        </is>
      </c>
      <c r="S2" s="2" t="inlineStr">
        <is>
          <t>4/17</t>
        </is>
      </c>
      <c r="T2" s="2" t="inlineStr">
        <is>
          <t>4/18</t>
        </is>
      </c>
      <c r="U2" s="2" t="inlineStr">
        <is>
          <t>4/19</t>
        </is>
      </c>
      <c r="V2" s="2" t="inlineStr">
        <is>
          <t>4/20</t>
        </is>
      </c>
      <c r="W2" s="2" t="inlineStr">
        <is>
          <t>4/21</t>
        </is>
      </c>
      <c r="X2" s="2" t="inlineStr">
        <is>
          <t>4/22</t>
        </is>
      </c>
      <c r="Y2" s="2" t="inlineStr">
        <is>
          <t>4/23</t>
        </is>
      </c>
      <c r="Z2" s="2" t="inlineStr">
        <is>
          <t>4/24</t>
        </is>
      </c>
      <c r="AA2" s="2" t="inlineStr">
        <is>
          <t>4/25</t>
        </is>
      </c>
      <c r="AB2" s="2" t="inlineStr">
        <is>
          <t>4/26</t>
        </is>
      </c>
      <c r="AC2" s="2" t="inlineStr">
        <is>
          <t>4/27</t>
        </is>
      </c>
      <c r="AD2" s="2" t="inlineStr">
        <is>
          <t>4/28</t>
        </is>
      </c>
      <c r="AE2" s="2" t="inlineStr">
        <is>
          <t>希望休数</t>
        </is>
      </c>
      <c r="AF2" s="2" t="inlineStr">
        <is>
          <t>希望有休数</t>
        </is>
      </c>
      <c r="AG2" s="2" t="inlineStr">
        <is>
          <t>備考</t>
        </is>
      </c>
    </row>
    <row r="3" ht="20" customHeight="1">
      <c r="A3" s="2"/>
      <c r="B3" s="2"/>
      <c r="C3" s="2" t="inlineStr">
        <is>
          <t>水</t>
        </is>
      </c>
      <c r="D3" s="2" t="inlineStr">
        <is>
          <t>木</t>
        </is>
      </c>
      <c r="E3" s="3" t="inlineStr">
        <is>
          <t>金</t>
        </is>
      </c>
      <c r="F3" s="3" t="inlineStr">
        <is>
          <t>土</t>
        </is>
      </c>
      <c r="G3" s="4" t="inlineStr">
        <is>
          <t>日</t>
        </is>
      </c>
      <c r="H3" s="2" t="inlineStr">
        <is>
          <t>月</t>
        </is>
      </c>
      <c r="I3" s="2" t="inlineStr">
        <is>
          <t>火</t>
        </is>
      </c>
      <c r="J3" s="2" t="inlineStr">
        <is>
          <t>水</t>
        </is>
      </c>
      <c r="K3" s="2" t="inlineStr">
        <is>
          <t>木</t>
        </is>
      </c>
      <c r="L3" s="3" t="inlineStr">
        <is>
          <t>金</t>
        </is>
      </c>
      <c r="M3" s="3" t="inlineStr">
        <is>
          <t>土</t>
        </is>
      </c>
      <c r="N3" s="4" t="inlineStr">
        <is>
          <t>日</t>
        </is>
      </c>
      <c r="O3" s="2" t="inlineStr">
        <is>
          <t>月</t>
        </is>
      </c>
      <c r="P3" s="2" t="inlineStr">
        <is>
          <t>火</t>
        </is>
      </c>
      <c r="Q3" s="2" t="inlineStr">
        <is>
          <t>水</t>
        </is>
      </c>
      <c r="R3" s="2" t="inlineStr">
        <is>
          <t>木</t>
        </is>
      </c>
      <c r="S3" s="3" t="inlineStr">
        <is>
          <t>金</t>
        </is>
      </c>
      <c r="T3" s="3" t="inlineStr">
        <is>
          <t>土</t>
        </is>
      </c>
      <c r="U3" s="4" t="inlineStr">
        <is>
          <t>日</t>
        </is>
      </c>
      <c r="V3" s="2" t="inlineStr">
        <is>
          <t>月</t>
        </is>
      </c>
      <c r="W3" s="2" t="inlineStr">
        <is>
          <t>火</t>
        </is>
      </c>
      <c r="X3" s="2" t="inlineStr">
        <is>
          <t>水</t>
        </is>
      </c>
      <c r="Y3" s="2" t="inlineStr">
        <is>
          <t>木</t>
        </is>
      </c>
      <c r="Z3" s="3" t="inlineStr">
        <is>
          <t>金</t>
        </is>
      </c>
      <c r="AA3" s="3" t="inlineStr">
        <is>
          <t>土</t>
        </is>
      </c>
      <c r="AB3" s="4" t="inlineStr">
        <is>
          <t>日</t>
        </is>
      </c>
      <c r="AC3" s="2" t="inlineStr">
        <is>
          <t>月</t>
        </is>
      </c>
      <c r="AD3" s="2" t="inlineStr">
        <is>
          <t>火</t>
        </is>
      </c>
      <c r="AE3" s="2"/>
      <c r="AF3" s="2"/>
      <c r="AG3" s="2"/>
    </row>
    <row r="4" ht="20" customHeight="1">
      <c r="A4" s="5">
        <v>1</v>
      </c>
      <c r="B4" s="6" t="inlineStr">
        <is>
          <t>スタッフ 01</t>
        </is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7">
        <f>COUNTIF(C4:AD4,"休")+0.5*(COUNTIF(C4:AD4,"○/休")+COUNTIF(C4:AD4,"〇/休")+COUNTIF(C4:AD4,"休/○")+COUNTIF(C4:AD4,"休/〇"))</f>
        <v>0</v>
      </c>
      <c r="AF4" s="7">
        <f>COUNTIF(C4:AD4,"有")+0.5*(COUNTIF(C4:AD4,"○/有")+COUNTIF(C4:AD4,"〇/有")+COUNTIF(C4:AD4,"有/○")+COUNTIF(C4:AD4,"有/〇"))</f>
        <v>0</v>
      </c>
      <c r="AG4" s="5"/>
    </row>
    <row r="5" ht="20" customHeight="1">
      <c r="A5" s="5">
        <v>2</v>
      </c>
      <c r="B5" s="6" t="inlineStr">
        <is>
          <t>スタッフ 02</t>
        </is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7">
        <f>COUNTIF(C5:AD5,"休")+0.5*(COUNTIF(C5:AD5,"○/休")+COUNTIF(C5:AD5,"〇/休")+COUNTIF(C5:AD5,"休/○")+COUNTIF(C5:AD5,"休/〇"))</f>
        <v>0</v>
      </c>
      <c r="AF5" s="7">
        <f>COUNTIF(C5:AD5,"有")+0.5*(COUNTIF(C5:AD5,"○/有")+COUNTIF(C5:AD5,"〇/有")+COUNTIF(C5:AD5,"有/○")+COUNTIF(C5:AD5,"有/〇"))</f>
        <v>0</v>
      </c>
      <c r="AG5" s="5"/>
    </row>
    <row r="6" ht="20" customHeight="1">
      <c r="A6" s="5">
        <v>3</v>
      </c>
      <c r="B6" s="6" t="inlineStr">
        <is>
          <t>スタッフ 03</t>
        </is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7">
        <f>COUNTIF(C6:AD6,"休")+0.5*(COUNTIF(C6:AD6,"○/休")+COUNTIF(C6:AD6,"〇/休")+COUNTIF(C6:AD6,"休/○")+COUNTIF(C6:AD6,"休/〇"))</f>
        <v>0</v>
      </c>
      <c r="AF6" s="7">
        <f>COUNTIF(C6:AD6,"有")+0.5*(COUNTIF(C6:AD6,"○/有")+COUNTIF(C6:AD6,"〇/有")+COUNTIF(C6:AD6,"有/○")+COUNTIF(C6:AD6,"有/〇"))</f>
        <v>0</v>
      </c>
      <c r="AG6" s="5"/>
    </row>
    <row r="7" ht="20" customHeight="1">
      <c r="A7" s="5">
        <v>4</v>
      </c>
      <c r="B7" s="6" t="inlineStr">
        <is>
          <t>スタッフ 04</t>
        </is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7">
        <f>COUNTIF(C7:AD7,"休")+0.5*(COUNTIF(C7:AD7,"○/休")+COUNTIF(C7:AD7,"〇/休")+COUNTIF(C7:AD7,"休/○")+COUNTIF(C7:AD7,"休/〇"))</f>
        <v>0</v>
      </c>
      <c r="AF7" s="7">
        <f>COUNTIF(C7:AD7,"有")+0.5*(COUNTIF(C7:AD7,"○/有")+COUNTIF(C7:AD7,"〇/有")+COUNTIF(C7:AD7,"有/○")+COUNTIF(C7:AD7,"有/〇"))</f>
        <v>0</v>
      </c>
      <c r="AG7" s="5"/>
    </row>
    <row r="8" ht="20" customHeight="1">
      <c r="A8" s="5">
        <v>5</v>
      </c>
      <c r="B8" s="6" t="inlineStr">
        <is>
          <t>スタッフ 05</t>
        </is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7">
        <f>COUNTIF(C8:AD8,"休")+0.5*(COUNTIF(C8:AD8,"○/休")+COUNTIF(C8:AD8,"〇/休")+COUNTIF(C8:AD8,"休/○")+COUNTIF(C8:AD8,"休/〇"))</f>
        <v>0</v>
      </c>
      <c r="AF8" s="7">
        <f>COUNTIF(C8:AD8,"有")+0.5*(COUNTIF(C8:AD8,"○/有")+COUNTIF(C8:AD8,"〇/有")+COUNTIF(C8:AD8,"有/○")+COUNTIF(C8:AD8,"有/〇"))</f>
        <v>0</v>
      </c>
      <c r="AG8" s="5"/>
    </row>
    <row r="9" ht="20" customHeight="1">
      <c r="A9" s="5">
        <v>6</v>
      </c>
      <c r="B9" s="6" t="inlineStr">
        <is>
          <t>スタッフ 06</t>
        </is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7">
        <f>COUNTIF(C9:AD9,"休")+0.5*(COUNTIF(C9:AD9,"○/休")+COUNTIF(C9:AD9,"〇/休")+COUNTIF(C9:AD9,"休/○")+COUNTIF(C9:AD9,"休/〇"))</f>
        <v>0</v>
      </c>
      <c r="AF9" s="7">
        <f>COUNTIF(C9:AD9,"有")+0.5*(COUNTIF(C9:AD9,"○/有")+COUNTIF(C9:AD9,"〇/有")+COUNTIF(C9:AD9,"有/○")+COUNTIF(C9:AD9,"有/〇"))</f>
        <v>0</v>
      </c>
      <c r="AG9" s="5"/>
    </row>
    <row r="10" ht="20" customHeight="1">
      <c r="A10" s="5">
        <v>7</v>
      </c>
      <c r="B10" s="6" t="inlineStr">
        <is>
          <t>スタッフ 07</t>
        </is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7">
        <f>COUNTIF(C10:AD10,"休")+0.5*(COUNTIF(C10:AD10,"○/休")+COUNTIF(C10:AD10,"〇/休")+COUNTIF(C10:AD10,"休/○")+COUNTIF(C10:AD10,"休/〇"))</f>
        <v>0</v>
      </c>
      <c r="AF10" s="7">
        <f>COUNTIF(C10:AD10,"有")+0.5*(COUNTIF(C10:AD10,"○/有")+COUNTIF(C10:AD10,"〇/有")+COUNTIF(C10:AD10,"有/○")+COUNTIF(C10:AD10,"有/〇"))</f>
        <v>0</v>
      </c>
      <c r="AG10" s="5"/>
    </row>
    <row r="11" ht="20" customHeight="1">
      <c r="A11" s="5">
        <v>8</v>
      </c>
      <c r="B11" s="6" t="inlineStr">
        <is>
          <t>スタッフ 08</t>
        </is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7">
        <f>COUNTIF(C11:AD11,"休")+0.5*(COUNTIF(C11:AD11,"○/休")+COUNTIF(C11:AD11,"〇/休")+COUNTIF(C11:AD11,"休/○")+COUNTIF(C11:AD11,"休/〇"))</f>
        <v>0</v>
      </c>
      <c r="AF11" s="7">
        <f>COUNTIF(C11:AD11,"有")+0.5*(COUNTIF(C11:AD11,"○/有")+COUNTIF(C11:AD11,"〇/有")+COUNTIF(C11:AD11,"有/○")+COUNTIF(C11:AD11,"有/〇"))</f>
        <v>0</v>
      </c>
      <c r="AG11" s="5"/>
    </row>
    <row r="12" ht="20" customHeight="1">
      <c r="A12" s="5">
        <v>9</v>
      </c>
      <c r="B12" s="6" t="inlineStr">
        <is>
          <t>スタッフ 09</t>
        </is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7">
        <f>COUNTIF(C12:AD12,"休")+0.5*(COUNTIF(C12:AD12,"○/休")+COUNTIF(C12:AD12,"〇/休")+COUNTIF(C12:AD12,"休/○")+COUNTIF(C12:AD12,"休/〇"))</f>
        <v>0</v>
      </c>
      <c r="AF12" s="7">
        <f>COUNTIF(C12:AD12,"有")+0.5*(COUNTIF(C12:AD12,"○/有")+COUNTIF(C12:AD12,"〇/有")+COUNTIF(C12:AD12,"有/○")+COUNTIF(C12:AD12,"有/〇"))</f>
        <v>0</v>
      </c>
      <c r="AG12" s="5"/>
    </row>
    <row r="13" ht="20" customHeight="1">
      <c r="A13" s="5">
        <v>10</v>
      </c>
      <c r="B13" s="6" t="inlineStr">
        <is>
          <t>スタッフ 10</t>
        </is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7">
        <f>COUNTIF(C13:AD13,"休")+0.5*(COUNTIF(C13:AD13,"○/休")+COUNTIF(C13:AD13,"〇/休")+COUNTIF(C13:AD13,"休/○")+COUNTIF(C13:AD13,"休/〇"))</f>
        <v>0</v>
      </c>
      <c r="AF13" s="7">
        <f>COUNTIF(C13:AD13,"有")+0.5*(COUNTIF(C13:AD13,"○/有")+COUNTIF(C13:AD13,"〇/有")+COUNTIF(C13:AD13,"有/○")+COUNTIF(C13:AD13,"有/〇"))</f>
        <v>0</v>
      </c>
      <c r="AG13" s="5"/>
    </row>
    <row r="14" ht="20" customHeight="1">
      <c r="A14" s="5">
        <v>11</v>
      </c>
      <c r="B14" s="6" t="inlineStr">
        <is>
          <t>スタッフ 11</t>
        </is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7">
        <f>COUNTIF(C14:AD14,"休")+0.5*(COUNTIF(C14:AD14,"○/休")+COUNTIF(C14:AD14,"〇/休")+COUNTIF(C14:AD14,"休/○")+COUNTIF(C14:AD14,"休/〇"))</f>
        <v>0</v>
      </c>
      <c r="AF14" s="7">
        <f>COUNTIF(C14:AD14,"有")+0.5*(COUNTIF(C14:AD14,"○/有")+COUNTIF(C14:AD14,"〇/有")+COUNTIF(C14:AD14,"有/○")+COUNTIF(C14:AD14,"有/〇"))</f>
        <v>0</v>
      </c>
      <c r="AG14" s="5"/>
    </row>
    <row r="15" ht="20" customHeight="1">
      <c r="A15" s="5">
        <v>12</v>
      </c>
      <c r="B15" s="6" t="inlineStr">
        <is>
          <t>スタッフ 12</t>
        </is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7">
        <f>COUNTIF(C15:AD15,"休")+0.5*(COUNTIF(C15:AD15,"○/休")+COUNTIF(C15:AD15,"〇/休")+COUNTIF(C15:AD15,"休/○")+COUNTIF(C15:AD15,"休/〇"))</f>
        <v>0</v>
      </c>
      <c r="AF15" s="7">
        <f>COUNTIF(C15:AD15,"有")+0.5*(COUNTIF(C15:AD15,"○/有")+COUNTIF(C15:AD15,"〇/有")+COUNTIF(C15:AD15,"有/○")+COUNTIF(C15:AD15,"有/〇"))</f>
        <v>0</v>
      </c>
      <c r="AG15" s="5"/>
    </row>
    <row r="16" ht="20" customHeight="1">
      <c r="A16" s="5">
        <v>13</v>
      </c>
      <c r="B16" s="6" t="inlineStr">
        <is>
          <t>スタッフ 13</t>
        </is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7">
        <f>COUNTIF(C16:AD16,"休")+0.5*(COUNTIF(C16:AD16,"○/休")+COUNTIF(C16:AD16,"〇/休")+COUNTIF(C16:AD16,"休/○")+COUNTIF(C16:AD16,"休/〇"))</f>
        <v>0</v>
      </c>
      <c r="AF16" s="7">
        <f>COUNTIF(C16:AD16,"有")+0.5*(COUNTIF(C16:AD16,"○/有")+COUNTIF(C16:AD16,"〇/有")+COUNTIF(C16:AD16,"有/○")+COUNTIF(C16:AD16,"有/〇"))</f>
        <v>0</v>
      </c>
      <c r="AG16" s="5"/>
    </row>
    <row r="17" ht="20" customHeight="1">
      <c r="A17" s="5">
        <v>14</v>
      </c>
      <c r="B17" s="6" t="inlineStr">
        <is>
          <t>スタッフ 14</t>
        </is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7">
        <f>COUNTIF(C17:AD17,"休")+0.5*(COUNTIF(C17:AD17,"○/休")+COUNTIF(C17:AD17,"〇/休")+COUNTIF(C17:AD17,"休/○")+COUNTIF(C17:AD17,"休/〇"))</f>
        <v>0</v>
      </c>
      <c r="AF17" s="7">
        <f>COUNTIF(C17:AD17,"有")+0.5*(COUNTIF(C17:AD17,"○/有")+COUNTIF(C17:AD17,"〇/有")+COUNTIF(C17:AD17,"有/○")+COUNTIF(C17:AD17,"有/〇"))</f>
        <v>0</v>
      </c>
      <c r="AG17" s="5"/>
    </row>
    <row r="18" ht="20" customHeight="1">
      <c r="A18" s="5">
        <v>15</v>
      </c>
      <c r="B18" s="6" t="inlineStr">
        <is>
          <t>スタッフ 15</t>
        </is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7">
        <f>COUNTIF(C18:AD18,"休")+0.5*(COUNTIF(C18:AD18,"○/休")+COUNTIF(C18:AD18,"〇/休")+COUNTIF(C18:AD18,"休/○")+COUNTIF(C18:AD18,"休/〇"))</f>
        <v>0</v>
      </c>
      <c r="AF18" s="7">
        <f>COUNTIF(C18:AD18,"有")+0.5*(COUNTIF(C18:AD18,"○/有")+COUNTIF(C18:AD18,"〇/有")+COUNTIF(C18:AD18,"有/○")+COUNTIF(C18:AD18,"有/〇"))</f>
        <v>0</v>
      </c>
      <c r="AG18" s="5"/>
    </row>
    <row r="19" ht="20" customHeight="1">
      <c r="A19" s="5">
        <v>16</v>
      </c>
      <c r="B19" s="6" t="inlineStr">
        <is>
          <t>スタッフ 16</t>
        </is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7">
        <f>COUNTIF(C19:AD19,"休")+0.5*(COUNTIF(C19:AD19,"○/休")+COUNTIF(C19:AD19,"〇/休")+COUNTIF(C19:AD19,"休/○")+COUNTIF(C19:AD19,"休/〇"))</f>
        <v>0</v>
      </c>
      <c r="AF19" s="7">
        <f>COUNTIF(C19:AD19,"有")+0.5*(COUNTIF(C19:AD19,"○/有")+COUNTIF(C19:AD19,"〇/有")+COUNTIF(C19:AD19,"有/○")+COUNTIF(C19:AD19,"有/〇"))</f>
        <v>0</v>
      </c>
      <c r="AG19" s="5"/>
    </row>
    <row r="20" ht="20" customHeight="1">
      <c r="A20" s="5">
        <v>17</v>
      </c>
      <c r="B20" s="6" t="inlineStr">
        <is>
          <t>スタッフ 17</t>
        </is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7">
        <f>COUNTIF(C20:AD20,"休")+0.5*(COUNTIF(C20:AD20,"○/休")+COUNTIF(C20:AD20,"〇/休")+COUNTIF(C20:AD20,"休/○")+COUNTIF(C20:AD20,"休/〇"))</f>
        <v>0</v>
      </c>
      <c r="AF20" s="7">
        <f>COUNTIF(C20:AD20,"有")+0.5*(COUNTIF(C20:AD20,"○/有")+COUNTIF(C20:AD20,"〇/有")+COUNTIF(C20:AD20,"有/○")+COUNTIF(C20:AD20,"有/〇"))</f>
        <v>0</v>
      </c>
      <c r="AG20" s="5"/>
    </row>
    <row r="21" ht="20" customHeight="1">
      <c r="A21" s="5">
        <v>18</v>
      </c>
      <c r="B21" s="6" t="inlineStr">
        <is>
          <t>スタッフ 18</t>
        </is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7">
        <f>COUNTIF(C21:AD21,"休")+0.5*(COUNTIF(C21:AD21,"○/休")+COUNTIF(C21:AD21,"〇/休")+COUNTIF(C21:AD21,"休/○")+COUNTIF(C21:AD21,"休/〇"))</f>
        <v>0</v>
      </c>
      <c r="AF21" s="7">
        <f>COUNTIF(C21:AD21,"有")+0.5*(COUNTIF(C21:AD21,"○/有")+COUNTIF(C21:AD21,"〇/有")+COUNTIF(C21:AD21,"有/○")+COUNTIF(C21:AD21,"有/〇"))</f>
        <v>0</v>
      </c>
      <c r="AG21" s="5"/>
    </row>
    <row r="22" ht="20" customHeight="1">
      <c r="A22" s="5">
        <v>19</v>
      </c>
      <c r="B22" s="6" t="inlineStr">
        <is>
          <t>スタッフ 19</t>
        </is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7">
        <f>COUNTIF(C22:AD22,"休")+0.5*(COUNTIF(C22:AD22,"○/休")+COUNTIF(C22:AD22,"〇/休")+COUNTIF(C22:AD22,"休/○")+COUNTIF(C22:AD22,"休/〇"))</f>
        <v>0</v>
      </c>
      <c r="AF22" s="7">
        <f>COUNTIF(C22:AD22,"有")+0.5*(COUNTIF(C22:AD22,"○/有")+COUNTIF(C22:AD22,"〇/有")+COUNTIF(C22:AD22,"有/○")+COUNTIF(C22:AD22,"有/〇"))</f>
        <v>0</v>
      </c>
      <c r="AG22" s="5"/>
    </row>
    <row r="23" ht="20" customHeight="1">
      <c r="A23" s="5">
        <v>20</v>
      </c>
      <c r="B23" s="6" t="inlineStr">
        <is>
          <t>スタッフ 20</t>
        </is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7">
        <f>COUNTIF(C23:AD23,"休")+0.5*(COUNTIF(C23:AD23,"○/休")+COUNTIF(C23:AD23,"〇/休")+COUNTIF(C23:AD23,"休/○")+COUNTIF(C23:AD23,"休/〇"))</f>
        <v>0</v>
      </c>
      <c r="AF23" s="7">
        <f>COUNTIF(C23:AD23,"有")+0.5*(COUNTIF(C23:AD23,"○/有")+COUNTIF(C23:AD23,"〇/有")+COUNTIF(C23:AD23,"有/○")+COUNTIF(C23:AD23,"有/〇"))</f>
        <v>0</v>
      </c>
      <c r="AG23" s="5"/>
    </row>
    <row r="24" ht="20" customHeight="1">
      <c r="A24" s="5">
        <v>21</v>
      </c>
      <c r="B24" s="6" t="inlineStr">
        <is>
          <t>スタッフ 21</t>
        </is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7">
        <f>COUNTIF(C24:AD24,"休")+0.5*(COUNTIF(C24:AD24,"○/休")+COUNTIF(C24:AD24,"〇/休")+COUNTIF(C24:AD24,"休/○")+COUNTIF(C24:AD24,"休/〇"))</f>
        <v>0</v>
      </c>
      <c r="AF24" s="7">
        <f>COUNTIF(C24:AD24,"有")+0.5*(COUNTIF(C24:AD24,"○/有")+COUNTIF(C24:AD24,"〇/有")+COUNTIF(C24:AD24,"有/○")+COUNTIF(C24:AD24,"有/〇"))</f>
        <v>0</v>
      </c>
      <c r="AG24" s="5"/>
    </row>
    <row r="25" ht="20" customHeight="1">
      <c r="A25" s="5">
        <v>22</v>
      </c>
      <c r="B25" s="6" t="inlineStr">
        <is>
          <t>スタッフ 22</t>
        </is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7">
        <f>COUNTIF(C25:AD25,"休")+0.5*(COUNTIF(C25:AD25,"○/休")+COUNTIF(C25:AD25,"〇/休")+COUNTIF(C25:AD25,"休/○")+COUNTIF(C25:AD25,"休/〇"))</f>
        <v>0</v>
      </c>
      <c r="AF25" s="7">
        <f>COUNTIF(C25:AD25,"有")+0.5*(COUNTIF(C25:AD25,"○/有")+COUNTIF(C25:AD25,"〇/有")+COUNTIF(C25:AD25,"有/○")+COUNTIF(C25:AD25,"有/〇"))</f>
        <v>0</v>
      </c>
      <c r="AG25" s="5"/>
    </row>
    <row r="26" ht="20" customHeight="1">
      <c r="A26" s="5">
        <v>23</v>
      </c>
      <c r="B26" s="6" t="inlineStr">
        <is>
          <t>スタッフ 23</t>
        </is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7">
        <f>COUNTIF(C26:AD26,"休")+0.5*(COUNTIF(C26:AD26,"○/休")+COUNTIF(C26:AD26,"〇/休")+COUNTIF(C26:AD26,"休/○")+COUNTIF(C26:AD26,"休/〇"))</f>
        <v>0</v>
      </c>
      <c r="AF26" s="7">
        <f>COUNTIF(C26:AD26,"有")+0.5*(COUNTIF(C26:AD26,"○/有")+COUNTIF(C26:AD26,"〇/有")+COUNTIF(C26:AD26,"有/○")+COUNTIF(C26:AD26,"有/〇"))</f>
        <v>0</v>
      </c>
      <c r="AG26" s="5"/>
    </row>
    <row r="27" ht="20" customHeight="1">
      <c r="A27" s="5">
        <v>24</v>
      </c>
      <c r="B27" s="6" t="inlineStr">
        <is>
          <t>スタッフ 24</t>
        </is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7">
        <f>COUNTIF(C27:AD27,"休")+0.5*(COUNTIF(C27:AD27,"○/休")+COUNTIF(C27:AD27,"〇/休")+COUNTIF(C27:AD27,"休/○")+COUNTIF(C27:AD27,"休/〇"))</f>
        <v>0</v>
      </c>
      <c r="AF27" s="7">
        <f>COUNTIF(C27:AD27,"有")+0.5*(COUNTIF(C27:AD27,"○/有")+COUNTIF(C27:AD27,"〇/有")+COUNTIF(C27:AD27,"有/○")+COUNTIF(C27:AD27,"有/〇"))</f>
        <v>0</v>
      </c>
      <c r="AG27" s="5"/>
    </row>
    <row r="28" ht="20" customHeight="1">
      <c r="A28" s="5">
        <v>25</v>
      </c>
      <c r="B28" s="6" t="inlineStr">
        <is>
          <t>スタッフ 25</t>
        </is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7">
        <f>COUNTIF(C28:AD28,"休")+0.5*(COUNTIF(C28:AD28,"○/休")+COUNTIF(C28:AD28,"〇/休")+COUNTIF(C28:AD28,"休/○")+COUNTIF(C28:AD28,"休/〇"))</f>
        <v>0</v>
      </c>
      <c r="AF28" s="7">
        <f>COUNTIF(C28:AD28,"有")+0.5*(COUNTIF(C28:AD28,"○/有")+COUNTIF(C28:AD28,"〇/有")+COUNTIF(C28:AD28,"有/○")+COUNTIF(C28:AD28,"有/〇"))</f>
        <v>0</v>
      </c>
      <c r="AG28" s="5"/>
    </row>
    <row r="29" ht="20" customHeight="1">
      <c r="A29" s="5">
        <v>26</v>
      </c>
      <c r="B29" s="6" t="inlineStr">
        <is>
          <t>スタッフ 26</t>
        </is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7">
        <f>COUNTIF(C29:AD29,"休")+0.5*(COUNTIF(C29:AD29,"○/休")+COUNTIF(C29:AD29,"〇/休")+COUNTIF(C29:AD29,"休/○")+COUNTIF(C29:AD29,"休/〇"))</f>
        <v>0</v>
      </c>
      <c r="AF29" s="7">
        <f>COUNTIF(C29:AD29,"有")+0.5*(COUNTIF(C29:AD29,"○/有")+COUNTIF(C29:AD29,"〇/有")+COUNTIF(C29:AD29,"有/○")+COUNTIF(C29:AD29,"有/〇"))</f>
        <v>0</v>
      </c>
      <c r="AG29" s="5"/>
    </row>
    <row r="30" ht="20" customHeight="1">
      <c r="A30" s="5">
        <v>27</v>
      </c>
      <c r="B30" s="6" t="inlineStr">
        <is>
          <t>スタッフ 27</t>
        </is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7">
        <f>COUNTIF(C30:AD30,"休")+0.5*(COUNTIF(C30:AD30,"○/休")+COUNTIF(C30:AD30,"〇/休")+COUNTIF(C30:AD30,"休/○")+COUNTIF(C30:AD30,"休/〇"))</f>
        <v>0</v>
      </c>
      <c r="AF30" s="7">
        <f>COUNTIF(C30:AD30,"有")+0.5*(COUNTIF(C30:AD30,"○/有")+COUNTIF(C30:AD30,"〇/有")+COUNTIF(C30:AD30,"有/○")+COUNTIF(C30:AD30,"有/〇"))</f>
        <v>0</v>
      </c>
      <c r="AG30" s="5"/>
    </row>
    <row r="31" ht="20" customHeight="1">
      <c r="A31" s="5">
        <v>28</v>
      </c>
      <c r="B31" s="6" t="inlineStr">
        <is>
          <t>スタッフ 28</t>
        </is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7">
        <f>COUNTIF(C31:AD31,"休")+0.5*(COUNTIF(C31:AD31,"○/休")+COUNTIF(C31:AD31,"〇/休")+COUNTIF(C31:AD31,"休/○")+COUNTIF(C31:AD31,"休/〇"))</f>
        <v>0</v>
      </c>
      <c r="AF31" s="7">
        <f>COUNTIF(C31:AD31,"有")+0.5*(COUNTIF(C31:AD31,"○/有")+COUNTIF(C31:AD31,"〇/有")+COUNTIF(C31:AD31,"有/○")+COUNTIF(C31:AD31,"有/〇"))</f>
        <v>0</v>
      </c>
      <c r="AG31" s="5"/>
    </row>
    <row r="32" ht="20" customHeight="1">
      <c r="A32" s="5">
        <v>29</v>
      </c>
      <c r="B32" s="6" t="inlineStr">
        <is>
          <t>スタッフ 29</t>
        </is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7">
        <f>COUNTIF(C32:AD32,"休")+0.5*(COUNTIF(C32:AD32,"○/休")+COUNTIF(C32:AD32,"〇/休")+COUNTIF(C32:AD32,"休/○")+COUNTIF(C32:AD32,"休/〇"))</f>
        <v>0</v>
      </c>
      <c r="AF32" s="7">
        <f>COUNTIF(C32:AD32,"有")+0.5*(COUNTIF(C32:AD32,"○/有")+COUNTIF(C32:AD32,"〇/有")+COUNTIF(C32:AD32,"有/○")+COUNTIF(C32:AD32,"有/〇"))</f>
        <v>0</v>
      </c>
      <c r="AG32" s="5"/>
    </row>
    <row r="33" ht="20" customHeight="1">
      <c r="A33" s="5">
        <v>30</v>
      </c>
      <c r="B33" s="6" t="inlineStr">
        <is>
          <t>スタッフ 30</t>
        </is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7">
        <f>COUNTIF(C33:AD33,"休")+0.5*(COUNTIF(C33:AD33,"○/休")+COUNTIF(C33:AD33,"〇/休")+COUNTIF(C33:AD33,"休/○")+COUNTIF(C33:AD33,"休/〇"))</f>
        <v>0</v>
      </c>
      <c r="AF33" s="7">
        <f>COUNTIF(C33:AD33,"有")+0.5*(COUNTIF(C33:AD33,"○/有")+COUNTIF(C33:AD33,"〇/有")+COUNTIF(C33:AD33,"有/○")+COUNTIF(C33:AD33,"有/〇"))</f>
        <v>0</v>
      </c>
      <c r="AG33" s="5"/>
    </row>
  </sheetData>
  <dataValidations count="1">
    <dataValidation type="list" allowBlank="1" showInputMessage="1" showErrorMessage="1" sqref="C4:AD33" promptTitle="希望勤務の選択" prompt="プルダウンから希望勤務記号を選択してください。" errorTitle="入力値エラー" error="一覧（プルダウン）にある記号のみ入力できます。">
      <formula1>"休,有,○,出,早,遅,E,8時,ハヤ,オソ,イブ,○/休,休/○,○/有,有/○,上1,上2,上3,上4,上5,下1,下2,下3,ー"</formula1>
    </dataValidation>
  </dataValidations>
  <pageMargins left="0.7" right="0.7" top="0.75" bottom="0.75" header="0.3" footer="0.3"/>
</worksheet>
</file>