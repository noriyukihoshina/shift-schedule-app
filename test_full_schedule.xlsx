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_1～4_28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!-- 0: 通常 -->
    <font>
      <b/>
      <sz val="9"/>
      <name val="Meiryo"/>
      <color rgb="000000"/>
    </font>
    <!-- 1: 太字黒 -->
    <font>
      <b/>
      <sz val="9"/>
      <name val="Meiryo"/>
      <color rgb="DC2626"/>
    </font>
    <!-- 2: 🔒赤字太字 -->
    <font>
      <b/>
      <sz val="12"/>
      <name val="Meiryo"/>
      <color rgb="1E293B"/>
    </font>
    <!-- 3: タイトル -->
    <font>
      <b/>
      <sz val="9"/>
      <name val="Meiryo"/>
      <color rgb="EA580C"/>
    </font>
    <!-- 4: オレンジ(PT/OT A) -->
    <font>
      <b/>
      <sz val="9"/>
      <name val="Meiryo"/>
      <color rgb="1D4ED8"/>
    </font>
    <!-- 5: 青(PT/OT B) -->
    <font>
      <b/>
      <sz val="9"/>
      <name val="Meiryo"/>
      <color rgb="EC4899"/>
    </font>
    <!-- 6: 薄いピンク(ST) -->
    <font>
      <b/>
      <sz val="9"/>
      <name val="Meiryo"/>
      <color rgb="334155"/>
    </font>
    <!-- 7: 濃い灰色(早〜8時) -->
    <font>
      <b/>
      <sz val="9"/>
      <name val="Meiryo"/>
      <color rgb="0284C7"/>
    </font>
    <!-- 8: 土曜青 -->
    <font>
      <b/>
      <sz val="9"/>
      <name val="Meiryo"/>
      <color rgb="E11D48"/>
    </font>
    <!-- 9: 日祝赤 --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!-- 2: ヘッダーグレー -->
    <fill>
      <patternFill patternType="solid">
        <fgColor rgb="E0F2FE"/>
      </patternFill>
    </fill>
    <!-- 3: 土曜薄青 -->
    <fill>
      <patternFill patternType="solid">
        <fgColor rgb="FFE4E6"/>
      </patternFill>
    </fill>
    <!-- 4: 日祝薄赤 -->
    <fill>
      <patternFill patternType="solid">
        <fgColor rgb="F8FAFC"/>
      </patternFill>
    </fill>
    <!-- 5: 合計薄グレー --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!-- 0: default -->
    <xf numFmtId="0" fontId="3" fillId="0" borderId="0" xfId="0">
      <alignment horizontal="left" vertical="center"/>
    </xf>
    <!-- 1: title -->
    <xf numFmtId="0" fontId="1" fillId="2" borderId="1" xfId="0">
      <alignment horizontal="center" vertical="center"/>
    </xf>
    <!-- 2: header gray -->
    <xf numFmtId="0" fontId="8" fillId="3" borderId="1" xfId="0">
      <alignment horizontal="center" vertical="center"/>
    </xf>
    <!-- 3: header sat -->
    <xf numFmtId="0" fontId="9" fillId="4" borderId="1" xfId="0">
      <alignment horizontal="center" vertical="center"/>
    </xf>
    <!-- 4: header sun -->
    <xf numFmtId="0" fontId="1" fillId="0" borderId="1" xfId="0">
      <alignment horizontal="left" vertical="center"/>
    </xf>
    <!-- 5: staff name -->
    <xf numFmtId="0" fontId="0" fillId="0" borderId="1" xfId="0">
      <alignment horizontal="center" vertical="center"/>
    </xf>
    <!-- 6: normal symbol -->
    <xf numFmtId="0" fontId="2" fillId="0" borderId="1" xfId="0">
      <alignment horizontal="center" vertical="center"/>
    </xf>
    <!-- 7: 🔒fixed symbol red -->
    <xf numFmtId="0" fontId="1" fillId="0" borderId="1" xfId="0">
      <alignment horizontal="center" vertical="center"/>
    </xf>
    <!-- 8: staff stat black -->
    <xf numFmtId="0" fontId="1" fillId="5" borderId="1" xfId="0">
      <alignment horizontal="center" vertical="center"/>
    </xf>
    <!-- 9: total sum / real sum -->
    <xf numFmtId="0" fontId="4" fillId="0" borderId="1" xfId="0">
      <alignment horizontal="center" vertical="center"/>
    </xf>
    <!-- 10: PT/OT A orange -->
    <xf numFmtId="0" fontId="5" fillId="0" borderId="1" xfId="0">
      <alignment horizontal="center" vertical="center"/>
    </xf>
    <!-- 11: PT/OT B blue -->
    <xf numFmtId="0" fontId="6" fillId="0" borderId="1" xfId="0">
      <alignment horizontal="center" vertical="center"/>
    </xf>
    <!-- 12: ST pink -->
    <xf numFmtId="0" fontId="7" fillId="0" borderId="1" xfId="0">
      <alignment horizontal="center" vertical="center"/>
    </xf>
    <!-- 13: early/late/eve/h8 gray -->
    <xf numFmtId="0" fontId="1" fillId="0" borderId="1" xfId="0">
      <alignment horizontal="center" vertical="center"/>
    </xf>
    <!-- 14: footer label center --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) -->
    <col min="2" max="29" width="4.8" customWidth="1"/>
    <!-- B〜AC: 28日分 -->
    <col min="30" max="33" width="7" customWidth="1"/>
    <!-- AD〜AG: 出勤, 公休, 有休, リフ -->
    <col min="34" max="37" width="5.5" customWidth="1"/>
    <!-- AH〜AK: 早, 遅, E, 8時 -->
  </cols>
  <sheetData>
    <!-- 1行目: タイトル -->
    <row r="1" ht="24" customHeight="1">
      <c r="A1" s="1" t="inlineStr">
        <is>
          <t>4_1～4_28勤務表（作成日: 2026/10/14）</t>
        </is>
      </c>
    </row>
    <!-- 2行目: 日付ヘッダー行 --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2" t="inlineStr">
        <is>
          <t>金</t>
        </is>
      </c>
      <c r="E3" s="3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2" t="inlineStr">
        <is>
          <t>金</t>
        </is>
      </c>
      <c r="L3" s="3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2" t="inlineStr">
        <is>
          <t>金</t>
        </is>
      </c>
      <c r="S3" s="3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2" t="inlineStr">
        <is>
          <t>金</t>
        </is>
      </c>
      <c r="Z3" s="3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 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 2</t>
        </is>
      </c>
      <c r="B5" s="7" t="inlineStr">
        <is>
          <t>休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 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 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 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9" t="inlineStr">
        <is>
          <t>出勤人数合計</t>
        </is>
      </c>
      <c r="B9" s="9">
        <f>SUM(COUNTIF(INDIRECT("B$4:B"&amp;(ROW()-1)),"○"),COUNTIF(INDIRECT("B$4:B"&amp;(ROW()-1)),"〇"),COUNTIF(INDIRECT("B$4:B"&amp;(ROW()-1)),"出"),COUNTIF(INDIRECT("B$4:B"&amp;(ROW()-1)),"早"),COUNTIF(INDIRECT("B$4:B"&amp;(ROW()-1)),"遅"),COUNTIF(INDIRECT("B$4:B"&amp;(ROW()-1)),"E"),COUNTIF(INDIRECT("B$4:B"&amp;(ROW()-1)),"8時"),COUNTIF(INDIRECT("B$4:B"&amp;(ROW()-1)),"ハヤ"),COUNTIF(INDIRECT("B$4:B"&amp;(ROW()-1)),"オソ"),COUNTIF(INDIRECT("B$4:B"&amp;(ROW()-1)),"イブ"))</f>
        <v>0</v>
      </c>
      <c r="C9" s="9">
        <f>SUM(COUNTIF(INDIRECT("C$4:C"&amp;(ROW()-1)),"○"),COUNTIF(INDIRECT("C$4:C"&amp;(ROW()-1)),"〇"),COUNTIF(INDIRECT("C$4:C"&amp;(ROW()-1)),"出"),COUNTIF(INDIRECT("C$4:C"&amp;(ROW()-1)),"早"),COUNTIF(INDIRECT("C$4:C"&amp;(ROW()-1)),"遅"),COUNTIF(INDIRECT("C$4:C"&amp;(ROW()-1)),"E"),COUNTIF(INDIRECT("C$4:C"&amp;(ROW()-1)),"8時"),COUNTIF(INDIRECT("C$4:C"&amp;(ROW()-1)),"ハヤ"),COUNTIF(INDIRECT("C$4:C"&amp;(ROW()-1)),"オソ"),COUNTIF(INDIRECT("C$4:C"&amp;(ROW()-1)),"イブ"))</f>
        <v>0</v>
      </c>
      <c r="D9" s="9">
        <f>SUM(COUNTIF(INDIRECT("D$4:D"&amp;(ROW()-1)),"○"),COUNTIF(INDIRECT("D$4:D"&amp;(ROW()-1)),"〇"),COUNTIF(INDIRECT("D$4:D"&amp;(ROW()-1)),"出"),COUNTIF(INDIRECT("D$4:D"&amp;(ROW()-1)),"早"),COUNTIF(INDIRECT("D$4:D"&amp;(ROW()-1)),"遅"),COUNTIF(INDIRECT("D$4:D"&amp;(ROW()-1)),"E"),COUNTIF(INDIRECT("D$4:D"&amp;(ROW()-1)),"8時"),COUNTIF(INDIRECT("D$4:D"&amp;(ROW()-1)),"ハヤ"),COUNTIF(INDIRECT("D$4:D"&amp;(ROW()-1)),"オソ"),COUNTIF(INDIRECT("D$4:D"&amp;(ROW()-1)),"イブ"))</f>
        <v>0</v>
      </c>
      <c r="E9" s="9">
        <f>SUM(COUNTIF(INDIRECT("E$4:E"&amp;(ROW()-1)),"○"),COUNTIF(INDIRECT("E$4:E"&amp;(ROW()-1)),"〇"),COUNTIF(INDIRECT("E$4:E"&amp;(ROW()-1)),"出"),COUNTIF(INDIRECT("E$4:E"&amp;(ROW()-1)),"早"),COUNTIF(INDIRECT("E$4:E"&amp;(ROW()-1)),"遅"),COUNTIF(INDIRECT("E$4:E"&amp;(ROW()-1)),"E"),COUNTIF(INDIRECT("E$4:E"&amp;(ROW()-1)),"8時"),COUNTIF(INDIRECT("E$4:E"&amp;(ROW()-1)),"ハヤ"),COUNTIF(INDIRECT("E$4:E"&amp;(ROW()-1)),"オソ"),COUNTIF(INDIRECT("E$4:E"&amp;(ROW()-1)),"イブ"))</f>
        <v>0</v>
      </c>
      <c r="F9" s="9">
        <f>SUM(COUNTIF(INDIRECT("F$4:F"&amp;(ROW()-1)),"○"),COUNTIF(INDIRECT("F$4:F"&amp;(ROW()-1)),"〇"),COUNTIF(INDIRECT("F$4:F"&amp;(ROW()-1)),"出"),COUNTIF(INDIRECT("F$4:F"&amp;(ROW()-1)),"早"),COUNTIF(INDIRECT("F$4:F"&amp;(ROW()-1)),"遅"),COUNTIF(INDIRECT("F$4:F"&amp;(ROW()-1)),"E"),COUNTIF(INDIRECT("F$4:F"&amp;(ROW()-1)),"8時"),COUNTIF(INDIRECT("F$4:F"&amp;(ROW()-1)),"ハヤ"),COUNTIF(INDIRECT("F$4:F"&amp;(ROW()-1)),"オソ"),COUNTIF(INDIRECT("F$4:F"&amp;(ROW()-1)),"イブ"))</f>
        <v>0</v>
      </c>
      <c r="G9" s="9">
        <f>SUM(COUNTIF(INDIRECT("G$4:G"&amp;(ROW()-1)),"○"),COUNTIF(INDIRECT("G$4:G"&amp;(ROW()-1)),"〇"),COUNTIF(INDIRECT("G$4:G"&amp;(ROW()-1)),"出"),COUNTIF(INDIRECT("G$4:G"&amp;(ROW()-1)),"早"),COUNTIF(INDIRECT("G$4:G"&amp;(ROW()-1)),"遅"),COUNTIF(INDIRECT("G$4:G"&amp;(ROW()-1)),"E"),COUNTIF(INDIRECT("G$4:G"&amp;(ROW()-1)),"8時"),COUNTIF(INDIRECT("G$4:G"&amp;(ROW()-1)),"ハヤ"),COUNTIF(INDIRECT("G$4:G"&amp;(ROW()-1)),"オソ"),COUNTIF(INDIRECT("G$4:G"&amp;(ROW()-1)),"イブ"))</f>
        <v>0</v>
      </c>
      <c r="H9" s="9">
        <f>SUM(COUNTIF(INDIRECT("H$4:H"&amp;(ROW()-1)),"○"),COUNTIF(INDIRECT("H$4:H"&amp;(ROW()-1)),"〇"),COUNTIF(INDIRECT("H$4:H"&amp;(ROW()-1)),"出"),COUNTIF(INDIRECT("H$4:H"&amp;(ROW()-1)),"早"),COUNTIF(INDIRECT("H$4:H"&amp;(ROW()-1)),"遅"),COUNTIF(INDIRECT("H$4:H"&amp;(ROW()-1)),"E"),COUNTIF(INDIRECT("H$4:H"&amp;(ROW()-1)),"8時"),COUNTIF(INDIRECT("H$4:H"&amp;(ROW()-1)),"ハヤ"),COUNTIF(INDIRECT("H$4:H"&amp;(ROW()-1)),"オソ"),COUNTIF(INDIRECT("H$4:H"&amp;(ROW()-1)),"イブ"))</f>
        <v>0</v>
      </c>
      <c r="I9" s="9">
        <f>SUM(COUNTIF(INDIRECT("I$4:I"&amp;(ROW()-1)),"○"),COUNTIF(INDIRECT("I$4:I"&amp;(ROW()-1)),"〇"),COUNTIF(INDIRECT("I$4:I"&amp;(ROW()-1)),"出"),COUNTIF(INDIRECT("I$4:I"&amp;(ROW()-1)),"早"),COUNTIF(INDIRECT("I$4:I"&amp;(ROW()-1)),"遅"),COUNTIF(INDIRECT("I$4:I"&amp;(ROW()-1)),"E"),COUNTIF(INDIRECT("I$4:I"&amp;(ROW()-1)),"8時"),COUNTIF(INDIRECT("I$4:I"&amp;(ROW()-1)),"ハヤ"),COUNTIF(INDIRECT("I$4:I"&amp;(ROW()-1)),"オソ"),COUNTIF(INDIRECT("I$4:I"&amp;(ROW()-1)),"イブ"))</f>
        <v>0</v>
      </c>
      <c r="J9" s="9">
        <f>SUM(COUNTIF(INDIRECT("J$4:J"&amp;(ROW()-1)),"○"),COUNTIF(INDIRECT("J$4:J"&amp;(ROW()-1)),"〇"),COUNTIF(INDIRECT("J$4:J"&amp;(ROW()-1)),"出"),COUNTIF(INDIRECT("J$4:J"&amp;(ROW()-1)),"早"),COUNTIF(INDIRECT("J$4:J"&amp;(ROW()-1)),"遅"),COUNTIF(INDIRECT("J$4:J"&amp;(ROW()-1)),"E"),COUNTIF(INDIRECT("J$4:J"&amp;(ROW()-1)),"8時"),COUNTIF(INDIRECT("J$4:J"&amp;(ROW()-1)),"ハヤ"),COUNTIF(INDIRECT("J$4:J"&amp;(ROW()-1)),"オソ"),COUNTIF(INDIRECT("J$4:J"&amp;(ROW()-1)),"イブ"))</f>
        <v>0</v>
      </c>
      <c r="K9" s="9">
        <f>SUM(COUNTIF(INDIRECT("K$4:K"&amp;(ROW()-1)),"○"),COUNTIF(INDIRECT("K$4:K"&amp;(ROW()-1)),"〇"),COUNTIF(INDIRECT("K$4:K"&amp;(ROW()-1)),"出"),COUNTIF(INDIRECT("K$4:K"&amp;(ROW()-1)),"早"),COUNTIF(INDIRECT("K$4:K"&amp;(ROW()-1)),"遅"),COUNTIF(INDIRECT("K$4:K"&amp;(ROW()-1)),"E"),COUNTIF(INDIRECT("K$4:K"&amp;(ROW()-1)),"8時"),COUNTIF(INDIRECT("K$4:K"&amp;(ROW()-1)),"ハヤ"),COUNTIF(INDIRECT("K$4:K"&amp;(ROW()-1)),"オソ"),COUNTIF(INDIRECT("K$4:K"&amp;(ROW()-1)),"イブ"))</f>
        <v>0</v>
      </c>
      <c r="L9" s="9">
        <f>SUM(COUNTIF(INDIRECT("L$4:L"&amp;(ROW()-1)),"○"),COUNTIF(INDIRECT("L$4:L"&amp;(ROW()-1)),"〇"),COUNTIF(INDIRECT("L$4:L"&amp;(ROW()-1)),"出"),COUNTIF(INDIRECT("L$4:L"&amp;(ROW()-1)),"早"),COUNTIF(INDIRECT("L$4:L"&amp;(ROW()-1)),"遅"),COUNTIF(INDIRECT("L$4:L"&amp;(ROW()-1)),"E"),COUNTIF(INDIRECT("L$4:L"&amp;(ROW()-1)),"8時"),COUNTIF(INDIRECT("L$4:L"&amp;(ROW()-1)),"ハヤ"),COUNTIF(INDIRECT("L$4:L"&amp;(ROW()-1)),"オソ"),COUNTIF(INDIRECT("L$4:L"&amp;(ROW()-1)),"イブ"))</f>
        <v>0</v>
      </c>
      <c r="M9" s="9">
        <f>SUM(COUNTIF(INDIRECT("M$4:M"&amp;(ROW()-1)),"○"),COUNTIF(INDIRECT("M$4:M"&amp;(ROW()-1)),"〇"),COUNTIF(INDIRECT("M$4:M"&amp;(ROW()-1)),"出"),COUNTIF(INDIRECT("M$4:M"&amp;(ROW()-1)),"早"),COUNTIF(INDIRECT("M$4:M"&amp;(ROW()-1)),"遅"),COUNTIF(INDIRECT("M$4:M"&amp;(ROW()-1)),"E"),COUNTIF(INDIRECT("M$4:M"&amp;(ROW()-1)),"8時"),COUNTIF(INDIRECT("M$4:M"&amp;(ROW()-1)),"ハヤ"),COUNTIF(INDIRECT("M$4:M"&amp;(ROW()-1)),"オソ"),COUNTIF(INDIRECT("M$4:M"&amp;(ROW()-1)),"イブ"))</f>
        <v>0</v>
      </c>
      <c r="N9" s="9">
        <f>SUM(COUNTIF(INDIRECT("N$4:N"&amp;(ROW()-1)),"○"),COUNTIF(INDIRECT("N$4:N"&amp;(ROW()-1)),"〇"),COUNTIF(INDIRECT("N$4:N"&amp;(ROW()-1)),"出"),COUNTIF(INDIRECT("N$4:N"&amp;(ROW()-1)),"早"),COUNTIF(INDIRECT("N$4:N"&amp;(ROW()-1)),"遅"),COUNTIF(INDIRECT("N$4:N"&amp;(ROW()-1)),"E"),COUNTIF(INDIRECT("N$4:N"&amp;(ROW()-1)),"8時"),COUNTIF(INDIRECT("N$4:N"&amp;(ROW()-1)),"ハヤ"),COUNTIF(INDIRECT("N$4:N"&amp;(ROW()-1)),"オソ"),COUNTIF(INDIRECT("N$4:N"&amp;(ROW()-1)),"イブ"))</f>
        <v>0</v>
      </c>
      <c r="O9" s="9">
        <f>SUM(COUNTIF(INDIRECT("O$4:O"&amp;(ROW()-1)),"○"),COUNTIF(INDIRECT("O$4:O"&amp;(ROW()-1)),"〇"),COUNTIF(INDIRECT("O$4:O"&amp;(ROW()-1)),"出"),COUNTIF(INDIRECT("O$4:O"&amp;(ROW()-1)),"早"),COUNTIF(INDIRECT("O$4:O"&amp;(ROW()-1)),"遅"),COUNTIF(INDIRECT("O$4:O"&amp;(ROW()-1)),"E"),COUNTIF(INDIRECT("O$4:O"&amp;(ROW()-1)),"8時"),COUNTIF(INDIRECT("O$4:O"&amp;(ROW()-1)),"ハヤ"),COUNTIF(INDIRECT("O$4:O"&amp;(ROW()-1)),"オソ"),COUNTIF(INDIRECT("O$4:O"&amp;(ROW()-1)),"イブ"))</f>
        <v>0</v>
      </c>
      <c r="P9" s="9">
        <f>SUM(COUNTIF(INDIRECT("P$4:P"&amp;(ROW()-1)),"○"),COUNTIF(INDIRECT("P$4:P"&amp;(ROW()-1)),"〇"),COUNTIF(INDIRECT("P$4:P"&amp;(ROW()-1)),"出"),COUNTIF(INDIRECT("P$4:P"&amp;(ROW()-1)),"早"),COUNTIF(INDIRECT("P$4:P"&amp;(ROW()-1)),"遅"),COUNTIF(INDIRECT("P$4:P"&amp;(ROW()-1)),"E"),COUNTIF(INDIRECT("P$4:P"&amp;(ROW()-1)),"8時"),COUNTIF(INDIRECT("P$4:P"&amp;(ROW()-1)),"ハヤ"),COUNTIF(INDIRECT("P$4:P"&amp;(ROW()-1)),"オソ"),COUNTIF(INDIRECT("P$4:P"&amp;(ROW()-1)),"イブ"))</f>
        <v>0</v>
      </c>
      <c r="Q9" s="9">
        <f>SUM(COUNTIF(INDIRECT("Q$4:Q"&amp;(ROW()-1)),"○"),COUNTIF(INDIRECT("Q$4:Q"&amp;(ROW()-1)),"〇"),COUNTIF(INDIRECT("Q$4:Q"&amp;(ROW()-1)),"出"),COUNTIF(INDIRECT("Q$4:Q"&amp;(ROW()-1)),"早"),COUNTIF(INDIRECT("Q$4:Q"&amp;(ROW()-1)),"遅"),COUNTIF(INDIRECT("Q$4:Q"&amp;(ROW()-1)),"E"),COUNTIF(INDIRECT("Q$4:Q"&amp;(ROW()-1)),"8時"),COUNTIF(INDIRECT("Q$4:Q"&amp;(ROW()-1)),"ハヤ"),COUNTIF(INDIRECT("Q$4:Q"&amp;(ROW()-1)),"オソ"),COUNTIF(INDIRECT("Q$4:Q"&amp;(ROW()-1)),"イブ"))</f>
        <v>0</v>
      </c>
      <c r="R9" s="9">
        <f>SUM(COUNTIF(INDIRECT("R$4:R"&amp;(ROW()-1)),"○"),COUNTIF(INDIRECT("R$4:R"&amp;(ROW()-1)),"〇"),COUNTIF(INDIRECT("R$4:R"&amp;(ROW()-1)),"出"),COUNTIF(INDIRECT("R$4:R"&amp;(ROW()-1)),"早"),COUNTIF(INDIRECT("R$4:R"&amp;(ROW()-1)),"遅"),COUNTIF(INDIRECT("R$4:R"&amp;(ROW()-1)),"E"),COUNTIF(INDIRECT("R$4:R"&amp;(ROW()-1)),"8時"),COUNTIF(INDIRECT("R$4:R"&amp;(ROW()-1)),"ハヤ"),COUNTIF(INDIRECT("R$4:R"&amp;(ROW()-1)),"オソ"),COUNTIF(INDIRECT("R$4:R"&amp;(ROW()-1)),"イブ"))</f>
        <v>0</v>
      </c>
      <c r="S9" s="9">
        <f>SUM(COUNTIF(INDIRECT("S$4:S"&amp;(ROW()-1)),"○"),COUNTIF(INDIRECT("S$4:S"&amp;(ROW()-1)),"〇"),COUNTIF(INDIRECT("S$4:S"&amp;(ROW()-1)),"出"),COUNTIF(INDIRECT("S$4:S"&amp;(ROW()-1)),"早"),COUNTIF(INDIRECT("S$4:S"&amp;(ROW()-1)),"遅"),COUNTIF(INDIRECT("S$4:S"&amp;(ROW()-1)),"E"),COUNTIF(INDIRECT("S$4:S"&amp;(ROW()-1)),"8時"),COUNTIF(INDIRECT("S$4:S"&amp;(ROW()-1)),"ハヤ"),COUNTIF(INDIRECT("S$4:S"&amp;(ROW()-1)),"オソ"),COUNTIF(INDIRECT("S$4:S"&amp;(ROW()-1)),"イブ"))</f>
        <v>0</v>
      </c>
      <c r="T9" s="9">
        <f>SUM(COUNTIF(INDIRECT("T$4:T"&amp;(ROW()-1)),"○"),COUNTIF(INDIRECT("T$4:T"&amp;(ROW()-1)),"〇"),COUNTIF(INDIRECT("T$4:T"&amp;(ROW()-1)),"出"),COUNTIF(INDIRECT("T$4:T"&amp;(ROW()-1)),"早"),COUNTIF(INDIRECT("T$4:T"&amp;(ROW()-1)),"遅"),COUNTIF(INDIRECT("T$4:T"&amp;(ROW()-1)),"E"),COUNTIF(INDIRECT("T$4:T"&amp;(ROW()-1)),"8時"),COUNTIF(INDIRECT("T$4:T"&amp;(ROW()-1)),"ハヤ"),COUNTIF(INDIRECT("T$4:T"&amp;(ROW()-1)),"オソ"),COUNTIF(INDIRECT("T$4:T"&amp;(ROW()-1)),"イブ"))</f>
        <v>0</v>
      </c>
      <c r="U9" s="9">
        <f>SUM(COUNTIF(INDIRECT("U$4:U"&amp;(ROW()-1)),"○"),COUNTIF(INDIRECT("U$4:U"&amp;(ROW()-1)),"〇"),COUNTIF(INDIRECT("U$4:U"&amp;(ROW()-1)),"出"),COUNTIF(INDIRECT("U$4:U"&amp;(ROW()-1)),"早"),COUNTIF(INDIRECT("U$4:U"&amp;(ROW()-1)),"遅"),COUNTIF(INDIRECT("U$4:U"&amp;(ROW()-1)),"E"),COUNTIF(INDIRECT("U$4:U"&amp;(ROW()-1)),"8時"),COUNTIF(INDIRECT("U$4:U"&amp;(ROW()-1)),"ハヤ"),COUNTIF(INDIRECT("U$4:U"&amp;(ROW()-1)),"オソ"),COUNTIF(INDIRECT("U$4:U"&amp;(ROW()-1)),"イブ"))</f>
        <v>0</v>
      </c>
      <c r="V9" s="9">
        <f>SUM(COUNTIF(INDIRECT("V$4:V"&amp;(ROW()-1)),"○"),COUNTIF(INDIRECT("V$4:V"&amp;(ROW()-1)),"〇"),COUNTIF(INDIRECT("V$4:V"&amp;(ROW()-1)),"出"),COUNTIF(INDIRECT("V$4:V"&amp;(ROW()-1)),"早"),COUNTIF(INDIRECT("V$4:V"&amp;(ROW()-1)),"遅"),COUNTIF(INDIRECT("V$4:V"&amp;(ROW()-1)),"E"),COUNTIF(INDIRECT("V$4:V"&amp;(ROW()-1)),"8時"),COUNTIF(INDIRECT("V$4:V"&amp;(ROW()-1)),"ハヤ"),COUNTIF(INDIRECT("V$4:V"&amp;(ROW()-1)),"オソ"),COUNTIF(INDIRECT("V$4:V"&amp;(ROW()-1)),"イブ"))</f>
        <v>0</v>
      </c>
      <c r="W9" s="9">
        <f>SUM(COUNTIF(INDIRECT("W$4:W"&amp;(ROW()-1)),"○"),COUNTIF(INDIRECT("W$4:W"&amp;(ROW()-1)),"〇"),COUNTIF(INDIRECT("W$4:W"&amp;(ROW()-1)),"出"),COUNTIF(INDIRECT("W$4:W"&amp;(ROW()-1)),"早"),COUNTIF(INDIRECT("W$4:W"&amp;(ROW()-1)),"遅"),COUNTIF(INDIRECT("W$4:W"&amp;(ROW()-1)),"E"),COUNTIF(INDIRECT("W$4:W"&amp;(ROW()-1)),"8時"),COUNTIF(INDIRECT("W$4:W"&amp;(ROW()-1)),"ハヤ"),COUNTIF(INDIRECT("W$4:W"&amp;(ROW()-1)),"オソ"),COUNTIF(INDIRECT("W$4:W"&amp;(ROW()-1)),"イブ"))</f>
        <v>0</v>
      </c>
      <c r="X9" s="9">
        <f>SUM(COUNTIF(INDIRECT("X$4:X"&amp;(ROW()-1)),"○"),COUNTIF(INDIRECT("X$4:X"&amp;(ROW()-1)),"〇"),COUNTIF(INDIRECT("X$4:X"&amp;(ROW()-1)),"出"),COUNTIF(INDIRECT("X$4:X"&amp;(ROW()-1)),"早"),COUNTIF(INDIRECT("X$4:X"&amp;(ROW()-1)),"遅"),COUNTIF(INDIRECT("X$4:X"&amp;(ROW()-1)),"E"),COUNTIF(INDIRECT("X$4:X"&amp;(ROW()-1)),"8時"),COUNTIF(INDIRECT("X$4:X"&amp;(ROW()-1)),"ハヤ"),COUNTIF(INDIRECT("X$4:X"&amp;(ROW()-1)),"オソ"),COUNTIF(INDIRECT("X$4:X"&amp;(ROW()-1)),"イブ"))</f>
        <v>0</v>
      </c>
      <c r="Y9" s="9">
        <f>SUM(COUNTIF(INDIRECT("Y$4:Y"&amp;(ROW()-1)),"○"),COUNTIF(INDIRECT("Y$4:Y"&amp;(ROW()-1)),"〇"),COUNTIF(INDIRECT("Y$4:Y"&amp;(ROW()-1)),"出"),COUNTIF(INDIRECT("Y$4:Y"&amp;(ROW()-1)),"早"),COUNTIF(INDIRECT("Y$4:Y"&amp;(ROW()-1)),"遅"),COUNTIF(INDIRECT("Y$4:Y"&amp;(ROW()-1)),"E"),COUNTIF(INDIRECT("Y$4:Y"&amp;(ROW()-1)),"8時"),COUNTIF(INDIRECT("Y$4:Y"&amp;(ROW()-1)),"ハヤ"),COUNTIF(INDIRECT("Y$4:Y"&amp;(ROW()-1)),"オソ"),COUNTIF(INDIRECT("Y$4:Y"&amp;(ROW()-1)),"イブ"))</f>
        <v>0</v>
      </c>
      <c r="Z9" s="9">
        <f>SUM(COUNTIF(INDIRECT("Z$4:Z"&amp;(ROW()-1)),"○"),COUNTIF(INDIRECT("Z$4:Z"&amp;(ROW()-1)),"〇"),COUNTIF(INDIRECT("Z$4:Z"&amp;(ROW()-1)),"出"),COUNTIF(INDIRECT("Z$4:Z"&amp;(ROW()-1)),"早"),COUNTIF(INDIRECT("Z$4:Z"&amp;(ROW()-1)),"遅"),COUNTIF(INDIRECT("Z$4:Z"&amp;(ROW()-1)),"E"),COUNTIF(INDIRECT("Z$4:Z"&amp;(ROW()-1)),"8時"),COUNTIF(INDIRECT("Z$4:Z"&amp;(ROW()-1)),"ハヤ"),COUNTIF(INDIRECT("Z$4:Z"&amp;(ROW()-1)),"オソ"),COUNTIF(INDIRECT("Z$4:Z"&amp;(ROW()-1)),"イブ"))</f>
        <v>0</v>
      </c>
      <c r="AA9" s="9">
        <f>SUM(COUNTIF(INDIRECT("AA$4:AA"&amp;(ROW()-1)),"○"),COUNTIF(INDIRECT("AA$4:AA"&amp;(ROW()-1)),"〇"),COUNTIF(INDIRECT("AA$4:AA"&amp;(ROW()-1)),"出"),COUNTIF(INDIRECT("AA$4:AA"&amp;(ROW()-1)),"早"),COUNTIF(INDIRECT("AA$4:AA"&amp;(ROW()-1)),"遅"),COUNTIF(INDIRECT("AA$4:AA"&amp;(ROW()-1)),"E"),COUNTIF(INDIRECT("AA$4:AA"&amp;(ROW()-1)),"8時"),COUNTIF(INDIRECT("AA$4:AA"&amp;(ROW()-1)),"ハヤ"),COUNTIF(INDIRECT("AA$4:AA"&amp;(ROW()-1)),"オソ"),COUNTIF(INDIRECT("AA$4:AA"&amp;(ROW()-1)),"イブ"))</f>
        <v>0</v>
      </c>
      <c r="AB9" s="9">
        <f>SUM(COUNTIF(INDIRECT("AB$4:AB"&amp;(ROW()-1)),"○"),COUNTIF(INDIRECT("AB$4:AB"&amp;(ROW()-1)),"〇"),COUNTIF(INDIRECT("AB$4:AB"&amp;(ROW()-1)),"出"),COUNTIF(INDIRECT("AB$4:AB"&amp;(ROW()-1)),"早"),COUNTIF(INDIRECT("AB$4:AB"&amp;(ROW()-1)),"遅"),COUNTIF(INDIRECT("AB$4:AB"&amp;(ROW()-1)),"E"),COUNTIF(INDIRECT("AB$4:AB"&amp;(ROW()-1)),"8時"),COUNTIF(INDIRECT("AB$4:AB"&amp;(ROW()-1)),"ハヤ"),COUNTIF(INDIRECT("AB$4:AB"&amp;(ROW()-1)),"オソ"),COUNTIF(INDIRECT("AB$4:AB"&amp;(ROW()-1)),"イブ"))</f>
        <v>0</v>
      </c>
      <c r="AC9" s="9">
        <f>SUM(COUNTIF(INDIRECT("AC$4:AC"&amp;(ROW()-1)),"○"),COUNTIF(INDIRECT("AC$4:AC"&amp;(ROW()-1)),"〇"),COUNTIF(INDIRECT("AC$4:AC"&amp;(ROW()-1)),"出"),COUNTIF(INDIRECT("AC$4:AC"&amp;(ROW()-1)),"早"),COUNTIF(INDIRECT("AC$4:AC"&amp;(ROW()-1)),"遅"),COUNTIF(INDIRECT("AC$4:AC"&amp;(ROW()-1)),"E"),COUNTIF(INDIRECT("AC$4:AC"&amp;(ROW()-1)),"8時"),COUNTIF(INDIRECT("AC$4:AC"&amp;(ROW()-1)),"ハヤ"),COUNTIF(INDIRECT("AC$4:AC"&amp;(ROW()-1)),"オソ"),COUNTIF(INDIRECT("AC$4:AC"&amp;(ROW()-1)),"イブ"))</f>
        <v>0</v>
      </c>
      <c r="AD9" s="9">
        <f>SUM(INDIRECT("AD$4:AD"&amp;(ROW()-1)))</f>
        <v>0</v>
      </c>
      <c r="AE9" s="9">
        <f>SUM(INDIRECT("AE$4:AE"&amp;(ROW()-1)))</f>
        <v>0</v>
      </c>
      <c r="AF9" s="9">
        <f>SUM(INDIRECT("AF$4:AF"&amp;(ROW()-1)))</f>
        <v>0</v>
      </c>
      <c r="AG9" s="9">
        <f>SUM(INDIRECT("AG$4:AG"&amp;(ROW()-1)))</f>
        <v>0</v>
      </c>
      <c r="AH9" s="13">
        <f>SUM(INDIRECT("AH$4:AH"&amp;(ROW()-1)))</f>
        <v>0</v>
      </c>
      <c r="AI9" s="13">
        <f>SUM(INDIRECT("AI$4:AI"&amp;(ROW()-1)))</f>
        <v>0</v>
      </c>
      <c r="AJ9" s="13">
        <f>SUM(INDIRECT("AJ$4:AJ"&amp;(ROW()-1)))</f>
        <v>0</v>
      </c>
      <c r="AK9" s="13">
        <f>SUM(INDIRECT("AK$4:AK"&amp;(ROW()-1)))</f>
        <v>0</v>
      </c>
    </row>
    <row r="10" ht="20" customHeight="1">
      <c r="A10" s="9" t="inlineStr">
        <is>
          <t>実数合計</t>
        </is>
      </c>
      <c r="B10" s="9">
        <f>INDIRECT("B"&amp;(ROW()-1))</f>
        <v>0</v>
      </c>
      <c r="C10" s="9">
        <f>INDIRECT("C"&amp;(ROW()-1))</f>
        <v>0</v>
      </c>
      <c r="D10" s="9">
        <f>INDIRECT("D"&amp;(ROW()-1))</f>
        <v>0</v>
      </c>
      <c r="E10" s="9">
        <f>INDIRECT("E"&amp;(ROW()-1))</f>
        <v>0</v>
      </c>
      <c r="F10" s="9">
        <f>INDIRECT("F"&amp;(ROW()-1))</f>
        <v>0</v>
      </c>
      <c r="G10" s="9">
        <f>INDIRECT("G"&amp;(ROW()-1))</f>
        <v>0</v>
      </c>
      <c r="H10" s="9">
        <f>INDIRECT("H"&amp;(ROW()-1))</f>
        <v>0</v>
      </c>
      <c r="I10" s="9">
        <f>INDIRECT("I"&amp;(ROW()-1))</f>
        <v>0</v>
      </c>
      <c r="J10" s="9">
        <f>INDIRECT("J"&amp;(ROW()-1))</f>
        <v>0</v>
      </c>
      <c r="K10" s="9">
        <f>INDIRECT("K"&amp;(ROW()-1))</f>
        <v>0</v>
      </c>
      <c r="L10" s="9">
        <f>INDIRECT("L"&amp;(ROW()-1))</f>
        <v>0</v>
      </c>
      <c r="M10" s="9">
        <f>INDIRECT("M"&amp;(ROW()-1))</f>
        <v>0</v>
      </c>
      <c r="N10" s="9">
        <f>INDIRECT("N"&amp;(ROW()-1))</f>
        <v>0</v>
      </c>
      <c r="O10" s="9">
        <f>INDIRECT("O"&amp;(ROW()-1))</f>
        <v>0</v>
      </c>
      <c r="P10" s="9">
        <f>INDIRECT("P"&amp;(ROW()-1))</f>
        <v>0</v>
      </c>
      <c r="Q10" s="9">
        <f>INDIRECT("Q"&amp;(ROW()-1))</f>
        <v>0</v>
      </c>
      <c r="R10" s="9">
        <f>INDIRECT("R"&amp;(ROW()-1))</f>
        <v>0</v>
      </c>
      <c r="S10" s="9">
        <f>INDIRECT("S"&amp;(ROW()-1))</f>
        <v>0</v>
      </c>
      <c r="T10" s="9">
        <f>INDIRECT("T"&amp;(ROW()-1))</f>
        <v>0</v>
      </c>
      <c r="U10" s="9">
        <f>INDIRECT("U"&amp;(ROW()-1))</f>
        <v>0</v>
      </c>
      <c r="V10" s="9">
        <f>INDIRECT("V"&amp;(ROW()-1))</f>
        <v>0</v>
      </c>
      <c r="W10" s="9">
        <f>INDIRECT("W"&amp;(ROW()-1))</f>
        <v>0</v>
      </c>
      <c r="X10" s="9">
        <f>INDIRECT("X"&amp;(ROW()-1))</f>
        <v>0</v>
      </c>
      <c r="Y10" s="9">
        <f>INDIRECT("Y"&amp;(ROW()-1))</f>
        <v>0</v>
      </c>
      <c r="Z10" s="9">
        <f>INDIRECT("Z"&amp;(ROW()-1))</f>
        <v>0</v>
      </c>
      <c r="AA10" s="9">
        <f>INDIRECT("AA"&amp;(ROW()-1))</f>
        <v>0</v>
      </c>
      <c r="AB10" s="9">
        <f>INDIRECT("AB"&amp;(ROW()-1))</f>
        <v>0</v>
      </c>
      <c r="AC10" s="9">
        <f>INDIRECT("AC"&amp;(ROW()-1))</f>
        <v>0</v>
      </c>
      <c r="AD10" s="9">
        <f>SUM(B10:AC10)</f>
        <v>0</v>
      </c>
      <c r="AE10" s="9" t="inlineStr">
        <is>
          <t>-</t>
        </is>
      </c>
      <c r="AF10" s="9" t="inlineStr">
        <is>
          <t>-</t>
        </is>
      </c>
      <c r="AG10" s="9" t="inlineStr">
        <is>
          <t>-</t>
        </is>
      </c>
      <c r="AH10" s="9" t="inlineStr">
        <is>
          <t>-</t>
        </is>
      </c>
      <c r="AI10" s="9" t="inlineStr">
        <is>
          <t>-</t>
        </is>
      </c>
      <c r="AJ10" s="9" t="inlineStr">
        <is>
          <t>-</t>
        </is>
      </c>
      <c r="AK10" s="9" t="inlineStr">
        <is>
          <t>-</t>
        </is>
      </c>
    </row>
    <row r="11" ht="20" customHeight="1">
      <c r="A11" s="10" t="inlineStr">
        <is>
          <t>PT A 出勤</t>
        </is>
      </c>
      <c r="B11" s="10">
        <f>SUM(COUNTIF(B$5:B$5,"○"),COUNTIF(B$5:B$5,"〇"),COUNTIF(B$5:B$5,"出"),COUNTIF(B$5:B$5,"早"),COUNTIF(B$5:B$5,"遅"),COUNTIF(B$5:B$5,"E"),COUNTIF(B$5:B$5,"8時"),COUNTIF(B$5:B$5,"ハヤ"),COUNTIF(B$5:B$5,"オソ"),COUNTIF(B$5:B$5,"イブ"))</f>
        <v>0</v>
      </c>
      <c r="C11" s="10">
        <f>SUM(COUNTIF(C$5:C$5,"○"),COUNTIF(C$5:C$5,"〇"),COUNTIF(C$5:C$5,"出"),COUNTIF(C$5:C$5,"早"),COUNTIF(C$5:C$5,"遅"),COUNTIF(C$5:C$5,"E"),COUNTIF(C$5:C$5,"8時"),COUNTIF(C$5:C$5,"ハヤ"),COUNTIF(C$5:C$5,"オソ"),COUNTIF(C$5:C$5,"イブ"))</f>
        <v>0</v>
      </c>
      <c r="D11" s="10">
        <f>SUM(COUNTIF(D$5:D$5,"○"),COUNTIF(D$5:D$5,"〇"),COUNTIF(D$5:D$5,"出"),COUNTIF(D$5:D$5,"早"),COUNTIF(D$5:D$5,"遅"),COUNTIF(D$5:D$5,"E"),COUNTIF(D$5:D$5,"8時"),COUNTIF(D$5:D$5,"ハヤ"),COUNTIF(D$5:D$5,"オソ"),COUNTIF(D$5:D$5,"イブ"))</f>
        <v>0</v>
      </c>
      <c r="E11" s="10">
        <f>SUM(COUNTIF(E$5:E$5,"○"),COUNTIF(E$5:E$5,"〇"),COUNTIF(E$5:E$5,"出"),COUNTIF(E$5:E$5,"早"),COUNTIF(E$5:E$5,"遅"),COUNTIF(E$5:E$5,"E"),COUNTIF(E$5:E$5,"8時"),COUNTIF(E$5:E$5,"ハヤ"),COUNTIF(E$5:E$5,"オソ"),COUNTIF(E$5:E$5,"イブ"))</f>
        <v>0</v>
      </c>
      <c r="F11" s="10">
        <f>SUM(COUNTIF(F$5:F$5,"○"),COUNTIF(F$5:F$5,"〇"),COUNTIF(F$5:F$5,"出"),COUNTIF(F$5:F$5,"早"),COUNTIF(F$5:F$5,"遅"),COUNTIF(F$5:F$5,"E"),COUNTIF(F$5:F$5,"8時"),COUNTIF(F$5:F$5,"ハヤ"),COUNTIF(F$5:F$5,"オソ"),COUNTIF(F$5:F$5,"イブ"))</f>
        <v>0</v>
      </c>
      <c r="G11" s="10">
        <f>SUM(COUNTIF(G$5:G$5,"○"),COUNTIF(G$5:G$5,"〇"),COUNTIF(G$5:G$5,"出"),COUNTIF(G$5:G$5,"早"),COUNTIF(G$5:G$5,"遅"),COUNTIF(G$5:G$5,"E"),COUNTIF(G$5:G$5,"8時"),COUNTIF(G$5:G$5,"ハヤ"),COUNTIF(G$5:G$5,"オソ"),COUNTIF(G$5:G$5,"イブ"))</f>
        <v>0</v>
      </c>
      <c r="H11" s="10">
        <f>SUM(COUNTIF(H$5:H$5,"○"),COUNTIF(H$5:H$5,"〇"),COUNTIF(H$5:H$5,"出"),COUNTIF(H$5:H$5,"早"),COUNTIF(H$5:H$5,"遅"),COUNTIF(H$5:H$5,"E"),COUNTIF(H$5:H$5,"8時"),COUNTIF(H$5:H$5,"ハヤ"),COUNTIF(H$5:H$5,"オソ"),COUNTIF(H$5:H$5,"イブ"))</f>
        <v>0</v>
      </c>
      <c r="I11" s="10">
        <f>SUM(COUNTIF(I$5:I$5,"○"),COUNTIF(I$5:I$5,"〇"),COUNTIF(I$5:I$5,"出"),COUNTIF(I$5:I$5,"早"),COUNTIF(I$5:I$5,"遅"),COUNTIF(I$5:I$5,"E"),COUNTIF(I$5:I$5,"8時"),COUNTIF(I$5:I$5,"ハヤ"),COUNTIF(I$5:I$5,"オソ"),COUNTIF(I$5:I$5,"イブ"))</f>
        <v>0</v>
      </c>
      <c r="J11" s="10">
        <f>SUM(COUNTIF(J$5:J$5,"○"),COUNTIF(J$5:J$5,"〇"),COUNTIF(J$5:J$5,"出"),COUNTIF(J$5:J$5,"早"),COUNTIF(J$5:J$5,"遅"),COUNTIF(J$5:J$5,"E"),COUNTIF(J$5:J$5,"8時"),COUNTIF(J$5:J$5,"ハヤ"),COUNTIF(J$5:J$5,"オソ"),COUNTIF(J$5:J$5,"イブ"))</f>
        <v>0</v>
      </c>
      <c r="K11" s="10">
        <f>SUM(COUNTIF(K$5:K$5,"○"),COUNTIF(K$5:K$5,"〇"),COUNTIF(K$5:K$5,"出"),COUNTIF(K$5:K$5,"早"),COUNTIF(K$5:K$5,"遅"),COUNTIF(K$5:K$5,"E"),COUNTIF(K$5:K$5,"8時"),COUNTIF(K$5:K$5,"ハヤ"),COUNTIF(K$5:K$5,"オソ"),COUNTIF(K$5:K$5,"イブ"))</f>
        <v>0</v>
      </c>
      <c r="L11" s="10">
        <f>SUM(COUNTIF(L$5:L$5,"○"),COUNTIF(L$5:L$5,"〇"),COUNTIF(L$5:L$5,"出"),COUNTIF(L$5:L$5,"早"),COUNTIF(L$5:L$5,"遅"),COUNTIF(L$5:L$5,"E"),COUNTIF(L$5:L$5,"8時"),COUNTIF(L$5:L$5,"ハヤ"),COUNTIF(L$5:L$5,"オソ"),COUNTIF(L$5:L$5,"イブ"))</f>
        <v>0</v>
      </c>
      <c r="M11" s="10">
        <f>SUM(COUNTIF(M$5:M$5,"○"),COUNTIF(M$5:M$5,"〇"),COUNTIF(M$5:M$5,"出"),COUNTIF(M$5:M$5,"早"),COUNTIF(M$5:M$5,"遅"),COUNTIF(M$5:M$5,"E"),COUNTIF(M$5:M$5,"8時"),COUNTIF(M$5:M$5,"ハヤ"),COUNTIF(M$5:M$5,"オソ"),COUNTIF(M$5:M$5,"イブ"))</f>
        <v>0</v>
      </c>
      <c r="N11" s="10">
        <f>SUM(COUNTIF(N$5:N$5,"○"),COUNTIF(N$5:N$5,"〇"),COUNTIF(N$5:N$5,"出"),COUNTIF(N$5:N$5,"早"),COUNTIF(N$5:N$5,"遅"),COUNTIF(N$5:N$5,"E"),COUNTIF(N$5:N$5,"8時"),COUNTIF(N$5:N$5,"ハヤ"),COUNTIF(N$5:N$5,"オソ"),COUNTIF(N$5:N$5,"イブ"))</f>
        <v>0</v>
      </c>
      <c r="O11" s="10">
        <f>SUM(COUNTIF(O$5:O$5,"○"),COUNTIF(O$5:O$5,"〇"),COUNTIF(O$5:O$5,"出"),COUNTIF(O$5:O$5,"早"),COUNTIF(O$5:O$5,"遅"),COUNTIF(O$5:O$5,"E"),COUNTIF(O$5:O$5,"8時"),COUNTIF(O$5:O$5,"ハヤ"),COUNTIF(O$5:O$5,"オソ"),COUNTIF(O$5:O$5,"イブ"))</f>
        <v>0</v>
      </c>
      <c r="P11" s="10">
        <f>SUM(COUNTIF(P$5:P$5,"○"),COUNTIF(P$5:P$5,"〇"),COUNTIF(P$5:P$5,"出"),COUNTIF(P$5:P$5,"早"),COUNTIF(P$5:P$5,"遅"),COUNTIF(P$5:P$5,"E"),COUNTIF(P$5:P$5,"8時"),COUNTIF(P$5:P$5,"ハヤ"),COUNTIF(P$5:P$5,"オソ"),COUNTIF(P$5:P$5,"イブ"))</f>
        <v>0</v>
      </c>
      <c r="Q11" s="10">
        <f>SUM(COUNTIF(Q$5:Q$5,"○"),COUNTIF(Q$5:Q$5,"〇"),COUNTIF(Q$5:Q$5,"出"),COUNTIF(Q$5:Q$5,"早"),COUNTIF(Q$5:Q$5,"遅"),COUNTIF(Q$5:Q$5,"E"),COUNTIF(Q$5:Q$5,"8時"),COUNTIF(Q$5:Q$5,"ハヤ"),COUNTIF(Q$5:Q$5,"オソ"),COUNTIF(Q$5:Q$5,"イブ"))</f>
        <v>0</v>
      </c>
      <c r="R11" s="10">
        <f>SUM(COUNTIF(R$5:R$5,"○"),COUNTIF(R$5:R$5,"〇"),COUNTIF(R$5:R$5,"出"),COUNTIF(R$5:R$5,"早"),COUNTIF(R$5:R$5,"遅"),COUNTIF(R$5:R$5,"E"),COUNTIF(R$5:R$5,"8時"),COUNTIF(R$5:R$5,"ハヤ"),COUNTIF(R$5:R$5,"オソ"),COUNTIF(R$5:R$5,"イブ"))</f>
        <v>0</v>
      </c>
      <c r="S11" s="10">
        <f>SUM(COUNTIF(S$5:S$5,"○"),COUNTIF(S$5:S$5,"〇"),COUNTIF(S$5:S$5,"出"),COUNTIF(S$5:S$5,"早"),COUNTIF(S$5:S$5,"遅"),COUNTIF(S$5:S$5,"E"),COUNTIF(S$5:S$5,"8時"),COUNTIF(S$5:S$5,"ハヤ"),COUNTIF(S$5:S$5,"オソ"),COUNTIF(S$5:S$5,"イブ"))</f>
        <v>0</v>
      </c>
      <c r="T11" s="10">
        <f>SUM(COUNTIF(T$5:T$5,"○"),COUNTIF(T$5:T$5,"〇"),COUNTIF(T$5:T$5,"出"),COUNTIF(T$5:T$5,"早"),COUNTIF(T$5:T$5,"遅"),COUNTIF(T$5:T$5,"E"),COUNTIF(T$5:T$5,"8時"),COUNTIF(T$5:T$5,"ハヤ"),COUNTIF(T$5:T$5,"オソ"),COUNTIF(T$5:T$5,"イブ"))</f>
        <v>0</v>
      </c>
      <c r="U11" s="10">
        <f>SUM(COUNTIF(U$5:U$5,"○"),COUNTIF(U$5:U$5,"〇"),COUNTIF(U$5:U$5,"出"),COUNTIF(U$5:U$5,"早"),COUNTIF(U$5:U$5,"遅"),COUNTIF(U$5:U$5,"E"),COUNTIF(U$5:U$5,"8時"),COUNTIF(U$5:U$5,"ハヤ"),COUNTIF(U$5:U$5,"オソ"),COUNTIF(U$5:U$5,"イブ"))</f>
        <v>0</v>
      </c>
      <c r="V11" s="10">
        <f>SUM(COUNTIF(V$5:V$5,"○"),COUNTIF(V$5:V$5,"〇"),COUNTIF(V$5:V$5,"出"),COUNTIF(V$5:V$5,"早"),COUNTIF(V$5:V$5,"遅"),COUNTIF(V$5:V$5,"E"),COUNTIF(V$5:V$5,"8時"),COUNTIF(V$5:V$5,"ハヤ"),COUNTIF(V$5:V$5,"オソ"),COUNTIF(V$5:V$5,"イブ"))</f>
        <v>0</v>
      </c>
      <c r="W11" s="10">
        <f>SUM(COUNTIF(W$5:W$5,"○"),COUNTIF(W$5:W$5,"〇"),COUNTIF(W$5:W$5,"出"),COUNTIF(W$5:W$5,"早"),COUNTIF(W$5:W$5,"遅"),COUNTIF(W$5:W$5,"E"),COUNTIF(W$5:W$5,"8時"),COUNTIF(W$5:W$5,"ハヤ"),COUNTIF(W$5:W$5,"オソ"),COUNTIF(W$5:W$5,"イブ"))</f>
        <v>0</v>
      </c>
      <c r="X11" s="10">
        <f>SUM(COUNTIF(X$5:X$5,"○"),COUNTIF(X$5:X$5,"〇"),COUNTIF(X$5:X$5,"出"),COUNTIF(X$5:X$5,"早"),COUNTIF(X$5:X$5,"遅"),COUNTIF(X$5:X$5,"E"),COUNTIF(X$5:X$5,"8時"),COUNTIF(X$5:X$5,"ハヤ"),COUNTIF(X$5:X$5,"オソ"),COUNTIF(X$5:X$5,"イブ"))</f>
        <v>0</v>
      </c>
      <c r="Y11" s="10">
        <f>SUM(COUNTIF(Y$5:Y$5,"○"),COUNTIF(Y$5:Y$5,"〇"),COUNTIF(Y$5:Y$5,"出"),COUNTIF(Y$5:Y$5,"早"),COUNTIF(Y$5:Y$5,"遅"),COUNTIF(Y$5:Y$5,"E"),COUNTIF(Y$5:Y$5,"8時"),COUNTIF(Y$5:Y$5,"ハヤ"),COUNTIF(Y$5:Y$5,"オソ"),COUNTIF(Y$5:Y$5,"イブ"))</f>
        <v>0</v>
      </c>
      <c r="Z11" s="10">
        <f>SUM(COUNTIF(Z$5:Z$5,"○"),COUNTIF(Z$5:Z$5,"〇"),COUNTIF(Z$5:Z$5,"出"),COUNTIF(Z$5:Z$5,"早"),COUNTIF(Z$5:Z$5,"遅"),COUNTIF(Z$5:Z$5,"E"),COUNTIF(Z$5:Z$5,"8時"),COUNTIF(Z$5:Z$5,"ハヤ"),COUNTIF(Z$5:Z$5,"オソ"),COUNTIF(Z$5:Z$5,"イブ"))</f>
        <v>0</v>
      </c>
      <c r="AA11" s="10">
        <f>SUM(COUNTIF(AA$5:AA$5,"○"),COUNTIF(AA$5:AA$5,"〇"),COUNTIF(AA$5:AA$5,"出"),COUNTIF(AA$5:AA$5,"早"),COUNTIF(AA$5:AA$5,"遅"),COUNTIF(AA$5:AA$5,"E"),COUNTIF(AA$5:AA$5,"8時"),COUNTIF(AA$5:AA$5,"ハヤ"),COUNTIF(AA$5:AA$5,"オソ"),COUNTIF(AA$5:AA$5,"イブ"))</f>
        <v>0</v>
      </c>
      <c r="AB11" s="10">
        <f>SUM(COUNTIF(AB$5:AB$5,"○"),COUNTIF(AB$5:AB$5,"〇"),COUNTIF(AB$5:AB$5,"出"),COUNTIF(AB$5:AB$5,"早"),COUNTIF(AB$5:AB$5,"遅"),COUNTIF(AB$5:AB$5,"E"),COUNTIF(AB$5:AB$5,"8時"),COUNTIF(AB$5:AB$5,"ハヤ"),COUNTIF(AB$5:AB$5,"オソ"),COUNTIF(AB$5:AB$5,"イブ"))</f>
        <v>0</v>
      </c>
      <c r="AC11" s="10">
        <f>SUM(COUNTIF(AC$5:AC$5,"○"),COUNTIF(AC$5:AC$5,"〇"),COUNTIF(AC$5:AC$5,"出"),COUNTIF(AC$5:AC$5,"早"),COUNTIF(AC$5:AC$5,"遅"),COUNTIF(AC$5:AC$5,"E"),COUNTIF(AC$5:AC$5,"8時"),COUNTIF(AC$5:AC$5,"ハヤ"),COUNTIF(AC$5:AC$5,"オソ"),COUNTIF(AC$5:AC$5,"イブ"))</f>
        <v>0</v>
      </c>
      <c r="AD11" s="10">
        <f>SUM(B11:AC11)</f>
        <v>0</v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 t="inlineStr">
        <is>
          <t>-</t>
        </is>
      </c>
      <c r="AK11" s="10" t="inlineStr">
        <is>
          <t>-</t>
        </is>
      </c>
    </row>
    <row r="12" ht="20" customHeight="1">
      <c r="A12" s="10" t="inlineStr">
        <is>
          <t>OT A 出勤</t>
        </is>
      </c>
      <c r="B12" s="10">
        <f>SUM(COUNTIF(B$6:B$6,"○"),COUNTIF(B$6:B$6,"〇"),COUNTIF(B$6:B$6,"出"),COUNTIF(B$6:B$6,"早"),COUNTIF(B$6:B$6,"遅"),COUNTIF(B$6:B$6,"E"),COUNTIF(B$6:B$6,"8時"),COUNTIF(B$6:B$6,"ハヤ"),COUNTIF(B$6:B$6,"オソ"),COUNTIF(B$6:B$6,"イブ"))</f>
        <v>0</v>
      </c>
      <c r="C12" s="10">
        <f>SUM(COUNTIF(C$6:C$6,"○"),COUNTIF(C$6:C$6,"〇"),COUNTIF(C$6:C$6,"出"),COUNTIF(C$6:C$6,"早"),COUNTIF(C$6:C$6,"遅"),COUNTIF(C$6:C$6,"E"),COUNTIF(C$6:C$6,"8時"),COUNTIF(C$6:C$6,"ハヤ"),COUNTIF(C$6:C$6,"オソ"),COUNTIF(C$6:C$6,"イブ"))</f>
        <v>0</v>
      </c>
      <c r="D12" s="10">
        <f>SUM(COUNTIF(D$6:D$6,"○"),COUNTIF(D$6:D$6,"〇"),COUNTIF(D$6:D$6,"出"),COUNTIF(D$6:D$6,"早"),COUNTIF(D$6:D$6,"遅"),COUNTIF(D$6:D$6,"E"),COUNTIF(D$6:D$6,"8時"),COUNTIF(D$6:D$6,"ハヤ"),COUNTIF(D$6:D$6,"オソ"),COUNTIF(D$6:D$6,"イブ"))</f>
        <v>0</v>
      </c>
      <c r="E12" s="10">
        <f>SUM(COUNTIF(E$6:E$6,"○"),COUNTIF(E$6:E$6,"〇"),COUNTIF(E$6:E$6,"出"),COUNTIF(E$6:E$6,"早"),COUNTIF(E$6:E$6,"遅"),COUNTIF(E$6:E$6,"E"),COUNTIF(E$6:E$6,"8時"),COUNTIF(E$6:E$6,"ハヤ"),COUNTIF(E$6:E$6,"オソ"),COUNTIF(E$6:E$6,"イブ"))</f>
        <v>0</v>
      </c>
      <c r="F12" s="10">
        <f>SUM(COUNTIF(F$6:F$6,"○"),COUNTIF(F$6:F$6,"〇"),COUNTIF(F$6:F$6,"出"),COUNTIF(F$6:F$6,"早"),COUNTIF(F$6:F$6,"遅"),COUNTIF(F$6:F$6,"E"),COUNTIF(F$6:F$6,"8時"),COUNTIF(F$6:F$6,"ハヤ"),COUNTIF(F$6:F$6,"オソ"),COUNTIF(F$6:F$6,"イブ"))</f>
        <v>0</v>
      </c>
      <c r="G12" s="10">
        <f>SUM(COUNTIF(G$6:G$6,"○"),COUNTIF(G$6:G$6,"〇"),COUNTIF(G$6:G$6,"出"),COUNTIF(G$6:G$6,"早"),COUNTIF(G$6:G$6,"遅"),COUNTIF(G$6:G$6,"E"),COUNTIF(G$6:G$6,"8時"),COUNTIF(G$6:G$6,"ハヤ"),COUNTIF(G$6:G$6,"オソ"),COUNTIF(G$6:G$6,"イブ"))</f>
        <v>0</v>
      </c>
      <c r="H12" s="10">
        <f>SUM(COUNTIF(H$6:H$6,"○"),COUNTIF(H$6:H$6,"〇"),COUNTIF(H$6:H$6,"出"),COUNTIF(H$6:H$6,"早"),COUNTIF(H$6:H$6,"遅"),COUNTIF(H$6:H$6,"E"),COUNTIF(H$6:H$6,"8時"),COUNTIF(H$6:H$6,"ハヤ"),COUNTIF(H$6:H$6,"オソ"),COUNTIF(H$6:H$6,"イブ"))</f>
        <v>0</v>
      </c>
      <c r="I12" s="10">
        <f>SUM(COUNTIF(I$6:I$6,"○"),COUNTIF(I$6:I$6,"〇"),COUNTIF(I$6:I$6,"出"),COUNTIF(I$6:I$6,"早"),COUNTIF(I$6:I$6,"遅"),COUNTIF(I$6:I$6,"E"),COUNTIF(I$6:I$6,"8時"),COUNTIF(I$6:I$6,"ハヤ"),COUNTIF(I$6:I$6,"オソ"),COUNTIF(I$6:I$6,"イブ"))</f>
        <v>0</v>
      </c>
      <c r="J12" s="10">
        <f>SUM(COUNTIF(J$6:J$6,"○"),COUNTIF(J$6:J$6,"〇"),COUNTIF(J$6:J$6,"出"),COUNTIF(J$6:J$6,"早"),COUNTIF(J$6:J$6,"遅"),COUNTIF(J$6:J$6,"E"),COUNTIF(J$6:J$6,"8時"),COUNTIF(J$6:J$6,"ハヤ"),COUNTIF(J$6:J$6,"オソ"),COUNTIF(J$6:J$6,"イブ"))</f>
        <v>0</v>
      </c>
      <c r="K12" s="10">
        <f>SUM(COUNTIF(K$6:K$6,"○"),COUNTIF(K$6:K$6,"〇"),COUNTIF(K$6:K$6,"出"),COUNTIF(K$6:K$6,"早"),COUNTIF(K$6:K$6,"遅"),COUNTIF(K$6:K$6,"E"),COUNTIF(K$6:K$6,"8時"),COUNTIF(K$6:K$6,"ハヤ"),COUNTIF(K$6:K$6,"オソ"),COUNTIF(K$6:K$6,"イブ"))</f>
        <v>0</v>
      </c>
      <c r="L12" s="10">
        <f>SUM(COUNTIF(L$6:L$6,"○"),COUNTIF(L$6:L$6,"〇"),COUNTIF(L$6:L$6,"出"),COUNTIF(L$6:L$6,"早"),COUNTIF(L$6:L$6,"遅"),COUNTIF(L$6:L$6,"E"),COUNTIF(L$6:L$6,"8時"),COUNTIF(L$6:L$6,"ハヤ"),COUNTIF(L$6:L$6,"オソ"),COUNTIF(L$6:L$6,"イブ"))</f>
        <v>0</v>
      </c>
      <c r="M12" s="10">
        <f>SUM(COUNTIF(M$6:M$6,"○"),COUNTIF(M$6:M$6,"〇"),COUNTIF(M$6:M$6,"出"),COUNTIF(M$6:M$6,"早"),COUNTIF(M$6:M$6,"遅"),COUNTIF(M$6:M$6,"E"),COUNTIF(M$6:M$6,"8時"),COUNTIF(M$6:M$6,"ハヤ"),COUNTIF(M$6:M$6,"オソ"),COUNTIF(M$6:M$6,"イブ"))</f>
        <v>0</v>
      </c>
      <c r="N12" s="10">
        <f>SUM(COUNTIF(N$6:N$6,"○"),COUNTIF(N$6:N$6,"〇"),COUNTIF(N$6:N$6,"出"),COUNTIF(N$6:N$6,"早"),COUNTIF(N$6:N$6,"遅"),COUNTIF(N$6:N$6,"E"),COUNTIF(N$6:N$6,"8時"),COUNTIF(N$6:N$6,"ハヤ"),COUNTIF(N$6:N$6,"オソ"),COUNTIF(N$6:N$6,"イブ"))</f>
        <v>0</v>
      </c>
      <c r="O12" s="10">
        <f>SUM(COUNTIF(O$6:O$6,"○"),COUNTIF(O$6:O$6,"〇"),COUNTIF(O$6:O$6,"出"),COUNTIF(O$6:O$6,"早"),COUNTIF(O$6:O$6,"遅"),COUNTIF(O$6:O$6,"E"),COUNTIF(O$6:O$6,"8時"),COUNTIF(O$6:O$6,"ハヤ"),COUNTIF(O$6:O$6,"オソ"),COUNTIF(O$6:O$6,"イブ"))</f>
        <v>0</v>
      </c>
      <c r="P12" s="10">
        <f>SUM(COUNTIF(P$6:P$6,"○"),COUNTIF(P$6:P$6,"〇"),COUNTIF(P$6:P$6,"出"),COUNTIF(P$6:P$6,"早"),COUNTIF(P$6:P$6,"遅"),COUNTIF(P$6:P$6,"E"),COUNTIF(P$6:P$6,"8時"),COUNTIF(P$6:P$6,"ハヤ"),COUNTIF(P$6:P$6,"オソ"),COUNTIF(P$6:P$6,"イブ"))</f>
        <v>0</v>
      </c>
      <c r="Q12" s="10">
        <f>SUM(COUNTIF(Q$6:Q$6,"○"),COUNTIF(Q$6:Q$6,"〇"),COUNTIF(Q$6:Q$6,"出"),COUNTIF(Q$6:Q$6,"早"),COUNTIF(Q$6:Q$6,"遅"),COUNTIF(Q$6:Q$6,"E"),COUNTIF(Q$6:Q$6,"8時"),COUNTIF(Q$6:Q$6,"ハヤ"),COUNTIF(Q$6:Q$6,"オソ"),COUNTIF(Q$6:Q$6,"イブ"))</f>
        <v>0</v>
      </c>
      <c r="R12" s="10">
        <f>SUM(COUNTIF(R$6:R$6,"○"),COUNTIF(R$6:R$6,"〇"),COUNTIF(R$6:R$6,"出"),COUNTIF(R$6:R$6,"早"),COUNTIF(R$6:R$6,"遅"),COUNTIF(R$6:R$6,"E"),COUNTIF(R$6:R$6,"8時"),COUNTIF(R$6:R$6,"ハヤ"),COUNTIF(R$6:R$6,"オソ"),COUNTIF(R$6:R$6,"イブ"))</f>
        <v>0</v>
      </c>
      <c r="S12" s="10">
        <f>SUM(COUNTIF(S$6:S$6,"○"),COUNTIF(S$6:S$6,"〇"),COUNTIF(S$6:S$6,"出"),COUNTIF(S$6:S$6,"早"),COUNTIF(S$6:S$6,"遅"),COUNTIF(S$6:S$6,"E"),COUNTIF(S$6:S$6,"8時"),COUNTIF(S$6:S$6,"ハヤ"),COUNTIF(S$6:S$6,"オソ"),COUNTIF(S$6:S$6,"イブ"))</f>
        <v>0</v>
      </c>
      <c r="T12" s="10">
        <f>SUM(COUNTIF(T$6:T$6,"○"),COUNTIF(T$6:T$6,"〇"),COUNTIF(T$6:T$6,"出"),COUNTIF(T$6:T$6,"早"),COUNTIF(T$6:T$6,"遅"),COUNTIF(T$6:T$6,"E"),COUNTIF(T$6:T$6,"8時"),COUNTIF(T$6:T$6,"ハヤ"),COUNTIF(T$6:T$6,"オソ"),COUNTIF(T$6:T$6,"イブ"))</f>
        <v>0</v>
      </c>
      <c r="U12" s="10">
        <f>SUM(COUNTIF(U$6:U$6,"○"),COUNTIF(U$6:U$6,"〇"),COUNTIF(U$6:U$6,"出"),COUNTIF(U$6:U$6,"早"),COUNTIF(U$6:U$6,"遅"),COUNTIF(U$6:U$6,"E"),COUNTIF(U$6:U$6,"8時"),COUNTIF(U$6:U$6,"ハヤ"),COUNTIF(U$6:U$6,"オソ"),COUNTIF(U$6:U$6,"イブ"))</f>
        <v>0</v>
      </c>
      <c r="V12" s="10">
        <f>SUM(COUNTIF(V$6:V$6,"○"),COUNTIF(V$6:V$6,"〇"),COUNTIF(V$6:V$6,"出"),COUNTIF(V$6:V$6,"早"),COUNTIF(V$6:V$6,"遅"),COUNTIF(V$6:V$6,"E"),COUNTIF(V$6:V$6,"8時"),COUNTIF(V$6:V$6,"ハヤ"),COUNTIF(V$6:V$6,"オソ"),COUNTIF(V$6:V$6,"イブ"))</f>
        <v>0</v>
      </c>
      <c r="W12" s="10">
        <f>SUM(COUNTIF(W$6:W$6,"○"),COUNTIF(W$6:W$6,"〇"),COUNTIF(W$6:W$6,"出"),COUNTIF(W$6:W$6,"早"),COUNTIF(W$6:W$6,"遅"),COUNTIF(W$6:W$6,"E"),COUNTIF(W$6:W$6,"8時"),COUNTIF(W$6:W$6,"ハヤ"),COUNTIF(W$6:W$6,"オソ"),COUNTIF(W$6:W$6,"イブ"))</f>
        <v>0</v>
      </c>
      <c r="X12" s="10">
        <f>SUM(COUNTIF(X$6:X$6,"○"),COUNTIF(X$6:X$6,"〇"),COUNTIF(X$6:X$6,"出"),COUNTIF(X$6:X$6,"早"),COUNTIF(X$6:X$6,"遅"),COUNTIF(X$6:X$6,"E"),COUNTIF(X$6:X$6,"8時"),COUNTIF(X$6:X$6,"ハヤ"),COUNTIF(X$6:X$6,"オソ"),COUNTIF(X$6:X$6,"イブ"))</f>
        <v>0</v>
      </c>
      <c r="Y12" s="10">
        <f>SUM(COUNTIF(Y$6:Y$6,"○"),COUNTIF(Y$6:Y$6,"〇"),COUNTIF(Y$6:Y$6,"出"),COUNTIF(Y$6:Y$6,"早"),COUNTIF(Y$6:Y$6,"遅"),COUNTIF(Y$6:Y$6,"E"),COUNTIF(Y$6:Y$6,"8時"),COUNTIF(Y$6:Y$6,"ハヤ"),COUNTIF(Y$6:Y$6,"オソ"),COUNTIF(Y$6:Y$6,"イブ"))</f>
        <v>0</v>
      </c>
      <c r="Z12" s="10">
        <f>SUM(COUNTIF(Z$6:Z$6,"○"),COUNTIF(Z$6:Z$6,"〇"),COUNTIF(Z$6:Z$6,"出"),COUNTIF(Z$6:Z$6,"早"),COUNTIF(Z$6:Z$6,"遅"),COUNTIF(Z$6:Z$6,"E"),COUNTIF(Z$6:Z$6,"8時"),COUNTIF(Z$6:Z$6,"ハヤ"),COUNTIF(Z$6:Z$6,"オソ"),COUNTIF(Z$6:Z$6,"イブ"))</f>
        <v>0</v>
      </c>
      <c r="AA12" s="10">
        <f>SUM(COUNTIF(AA$6:AA$6,"○"),COUNTIF(AA$6:AA$6,"〇"),COUNTIF(AA$6:AA$6,"出"),COUNTIF(AA$6:AA$6,"早"),COUNTIF(AA$6:AA$6,"遅"),COUNTIF(AA$6:AA$6,"E"),COUNTIF(AA$6:AA$6,"8時"),COUNTIF(AA$6:AA$6,"ハヤ"),COUNTIF(AA$6:AA$6,"オソ"),COUNTIF(AA$6:AA$6,"イブ"))</f>
        <v>0</v>
      </c>
      <c r="AB12" s="10">
        <f>SUM(COUNTIF(AB$6:AB$6,"○"),COUNTIF(AB$6:AB$6,"〇"),COUNTIF(AB$6:AB$6,"出"),COUNTIF(AB$6:AB$6,"早"),COUNTIF(AB$6:AB$6,"遅"),COUNTIF(AB$6:AB$6,"E"),COUNTIF(AB$6:AB$6,"8時"),COUNTIF(AB$6:AB$6,"ハヤ"),COUNTIF(AB$6:AB$6,"オソ"),COUNTIF(AB$6:AB$6,"イブ"))</f>
        <v>0</v>
      </c>
      <c r="AC12" s="10">
        <f>SUM(COUNTIF(AC$6:AC$6,"○"),COUNTIF(AC$6:AC$6,"〇"),COUNTIF(AC$6:AC$6,"出"),COUNTIF(AC$6:AC$6,"早"),COUNTIF(AC$6:AC$6,"遅"),COUNTIF(AC$6:AC$6,"E"),COUNTIF(AC$6:AC$6,"8時"),COUNTIF(AC$6:AC$6,"ハヤ"),COUNTIF(AC$6:AC$6,"オソ"),COUNTIF(AC$6:AC$6,"イブ"))</f>
        <v>0</v>
      </c>
      <c r="AD12" s="10">
        <f>SUM(B12:AC12)</f>
        <v>0</v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</row>
    <row r="13" ht="20" customHeight="1">
      <c r="A13" s="11" t="inlineStr">
        <is>
          <t>PT B 出勤</t>
        </is>
      </c>
      <c r="B13" s="11">
        <f>SUM(COUNTIF(B$7:B$7,"○"),COUNTIF(B$7:B$7,"〇"),COUNTIF(B$7:B$7,"出"),COUNTIF(B$7:B$7,"早"),COUNTIF(B$7:B$7,"遅"),COUNTIF(B$7:B$7,"E"),COUNTIF(B$7:B$7,"8時"),COUNTIF(B$7:B$7,"ハヤ"),COUNTIF(B$7:B$7,"オソ"),COUNTIF(B$7:B$7,"イブ"))</f>
        <v>0</v>
      </c>
      <c r="C13" s="11">
        <f>SUM(COUNTIF(C$7:C$7,"○"),COUNTIF(C$7:C$7,"〇"),COUNTIF(C$7:C$7,"出"),COUNTIF(C$7:C$7,"早"),COUNTIF(C$7:C$7,"遅"),COUNTIF(C$7:C$7,"E"),COUNTIF(C$7:C$7,"8時"),COUNTIF(C$7:C$7,"ハヤ"),COUNTIF(C$7:C$7,"オソ"),COUNTIF(C$7:C$7,"イブ"))</f>
        <v>0</v>
      </c>
      <c r="D13" s="11">
        <f>SUM(COUNTIF(D$7:D$7,"○"),COUNTIF(D$7:D$7,"〇"),COUNTIF(D$7:D$7,"出"),COUNTIF(D$7:D$7,"早"),COUNTIF(D$7:D$7,"遅"),COUNTIF(D$7:D$7,"E"),COUNTIF(D$7:D$7,"8時"),COUNTIF(D$7:D$7,"ハヤ"),COUNTIF(D$7:D$7,"オソ"),COUNTIF(D$7:D$7,"イブ"))</f>
        <v>0</v>
      </c>
      <c r="E13" s="11">
        <f>SUM(COUNTIF(E$7:E$7,"○"),COUNTIF(E$7:E$7,"〇"),COUNTIF(E$7:E$7,"出"),COUNTIF(E$7:E$7,"早"),COUNTIF(E$7:E$7,"遅"),COUNTIF(E$7:E$7,"E"),COUNTIF(E$7:E$7,"8時"),COUNTIF(E$7:E$7,"ハヤ"),COUNTIF(E$7:E$7,"オソ"),COUNTIF(E$7:E$7,"イブ"))</f>
        <v>0</v>
      </c>
      <c r="F13" s="11">
        <f>SUM(COUNTIF(F$7:F$7,"○"),COUNTIF(F$7:F$7,"〇"),COUNTIF(F$7:F$7,"出"),COUNTIF(F$7:F$7,"早"),COUNTIF(F$7:F$7,"遅"),COUNTIF(F$7:F$7,"E"),COUNTIF(F$7:F$7,"8時"),COUNTIF(F$7:F$7,"ハヤ"),COUNTIF(F$7:F$7,"オソ"),COUNTIF(F$7:F$7,"イブ"))</f>
        <v>0</v>
      </c>
      <c r="G13" s="11">
        <f>SUM(COUNTIF(G$7:G$7,"○"),COUNTIF(G$7:G$7,"〇"),COUNTIF(G$7:G$7,"出"),COUNTIF(G$7:G$7,"早"),COUNTIF(G$7:G$7,"遅"),COUNTIF(G$7:G$7,"E"),COUNTIF(G$7:G$7,"8時"),COUNTIF(G$7:G$7,"ハヤ"),COUNTIF(G$7:G$7,"オソ"),COUNTIF(G$7:G$7,"イブ"))</f>
        <v>0</v>
      </c>
      <c r="H13" s="11">
        <f>SUM(COUNTIF(H$7:H$7,"○"),COUNTIF(H$7:H$7,"〇"),COUNTIF(H$7:H$7,"出"),COUNTIF(H$7:H$7,"早"),COUNTIF(H$7:H$7,"遅"),COUNTIF(H$7:H$7,"E"),COUNTIF(H$7:H$7,"8時"),COUNTIF(H$7:H$7,"ハヤ"),COUNTIF(H$7:H$7,"オソ"),COUNTIF(H$7:H$7,"イブ"))</f>
        <v>0</v>
      </c>
      <c r="I13" s="11">
        <f>SUM(COUNTIF(I$7:I$7,"○"),COUNTIF(I$7:I$7,"〇"),COUNTIF(I$7:I$7,"出"),COUNTIF(I$7:I$7,"早"),COUNTIF(I$7:I$7,"遅"),COUNTIF(I$7:I$7,"E"),COUNTIF(I$7:I$7,"8時"),COUNTIF(I$7:I$7,"ハヤ"),COUNTIF(I$7:I$7,"オソ"),COUNTIF(I$7:I$7,"イブ"))</f>
        <v>0</v>
      </c>
      <c r="J13" s="11">
        <f>SUM(COUNTIF(J$7:J$7,"○"),COUNTIF(J$7:J$7,"〇"),COUNTIF(J$7:J$7,"出"),COUNTIF(J$7:J$7,"早"),COUNTIF(J$7:J$7,"遅"),COUNTIF(J$7:J$7,"E"),COUNTIF(J$7:J$7,"8時"),COUNTIF(J$7:J$7,"ハヤ"),COUNTIF(J$7:J$7,"オソ"),COUNTIF(J$7:J$7,"イブ"))</f>
        <v>0</v>
      </c>
      <c r="K13" s="11">
        <f>SUM(COUNTIF(K$7:K$7,"○"),COUNTIF(K$7:K$7,"〇"),COUNTIF(K$7:K$7,"出"),COUNTIF(K$7:K$7,"早"),COUNTIF(K$7:K$7,"遅"),COUNTIF(K$7:K$7,"E"),COUNTIF(K$7:K$7,"8時"),COUNTIF(K$7:K$7,"ハヤ"),COUNTIF(K$7:K$7,"オソ"),COUNTIF(K$7:K$7,"イブ"))</f>
        <v>0</v>
      </c>
      <c r="L13" s="11">
        <f>SUM(COUNTIF(L$7:L$7,"○"),COUNTIF(L$7:L$7,"〇"),COUNTIF(L$7:L$7,"出"),COUNTIF(L$7:L$7,"早"),COUNTIF(L$7:L$7,"遅"),COUNTIF(L$7:L$7,"E"),COUNTIF(L$7:L$7,"8時"),COUNTIF(L$7:L$7,"ハヤ"),COUNTIF(L$7:L$7,"オソ"),COUNTIF(L$7:L$7,"イブ"))</f>
        <v>0</v>
      </c>
      <c r="M13" s="11">
        <f>SUM(COUNTIF(M$7:M$7,"○"),COUNTIF(M$7:M$7,"〇"),COUNTIF(M$7:M$7,"出"),COUNTIF(M$7:M$7,"早"),COUNTIF(M$7:M$7,"遅"),COUNTIF(M$7:M$7,"E"),COUNTIF(M$7:M$7,"8時"),COUNTIF(M$7:M$7,"ハヤ"),COUNTIF(M$7:M$7,"オソ"),COUNTIF(M$7:M$7,"イブ"))</f>
        <v>0</v>
      </c>
      <c r="N13" s="11">
        <f>SUM(COUNTIF(N$7:N$7,"○"),COUNTIF(N$7:N$7,"〇"),COUNTIF(N$7:N$7,"出"),COUNTIF(N$7:N$7,"早"),COUNTIF(N$7:N$7,"遅"),COUNTIF(N$7:N$7,"E"),COUNTIF(N$7:N$7,"8時"),COUNTIF(N$7:N$7,"ハヤ"),COUNTIF(N$7:N$7,"オソ"),COUNTIF(N$7:N$7,"イブ"))</f>
        <v>0</v>
      </c>
      <c r="O13" s="11">
        <f>SUM(COUNTIF(O$7:O$7,"○"),COUNTIF(O$7:O$7,"〇"),COUNTIF(O$7:O$7,"出"),COUNTIF(O$7:O$7,"早"),COUNTIF(O$7:O$7,"遅"),COUNTIF(O$7:O$7,"E"),COUNTIF(O$7:O$7,"8時"),COUNTIF(O$7:O$7,"ハヤ"),COUNTIF(O$7:O$7,"オソ"),COUNTIF(O$7:O$7,"イブ"))</f>
        <v>0</v>
      </c>
      <c r="P13" s="11">
        <f>SUM(COUNTIF(P$7:P$7,"○"),COUNTIF(P$7:P$7,"〇"),COUNTIF(P$7:P$7,"出"),COUNTIF(P$7:P$7,"早"),COUNTIF(P$7:P$7,"遅"),COUNTIF(P$7:P$7,"E"),COUNTIF(P$7:P$7,"8時"),COUNTIF(P$7:P$7,"ハヤ"),COUNTIF(P$7:P$7,"オソ"),COUNTIF(P$7:P$7,"イブ"))</f>
        <v>0</v>
      </c>
      <c r="Q13" s="11">
        <f>SUM(COUNTIF(Q$7:Q$7,"○"),COUNTIF(Q$7:Q$7,"〇"),COUNTIF(Q$7:Q$7,"出"),COUNTIF(Q$7:Q$7,"早"),COUNTIF(Q$7:Q$7,"遅"),COUNTIF(Q$7:Q$7,"E"),COUNTIF(Q$7:Q$7,"8時"),COUNTIF(Q$7:Q$7,"ハヤ"),COUNTIF(Q$7:Q$7,"オソ"),COUNTIF(Q$7:Q$7,"イブ"))</f>
        <v>0</v>
      </c>
      <c r="R13" s="11">
        <f>SUM(COUNTIF(R$7:R$7,"○"),COUNTIF(R$7:R$7,"〇"),COUNTIF(R$7:R$7,"出"),COUNTIF(R$7:R$7,"早"),COUNTIF(R$7:R$7,"遅"),COUNTIF(R$7:R$7,"E"),COUNTIF(R$7:R$7,"8時"),COUNTIF(R$7:R$7,"ハヤ"),COUNTIF(R$7:R$7,"オソ"),COUNTIF(R$7:R$7,"イブ"))</f>
        <v>0</v>
      </c>
      <c r="S13" s="11">
        <f>SUM(COUNTIF(S$7:S$7,"○"),COUNTIF(S$7:S$7,"〇"),COUNTIF(S$7:S$7,"出"),COUNTIF(S$7:S$7,"早"),COUNTIF(S$7:S$7,"遅"),COUNTIF(S$7:S$7,"E"),COUNTIF(S$7:S$7,"8時"),COUNTIF(S$7:S$7,"ハヤ"),COUNTIF(S$7:S$7,"オソ"),COUNTIF(S$7:S$7,"イブ"))</f>
        <v>0</v>
      </c>
      <c r="T13" s="11">
        <f>SUM(COUNTIF(T$7:T$7,"○"),COUNTIF(T$7:T$7,"〇"),COUNTIF(T$7:T$7,"出"),COUNTIF(T$7:T$7,"早"),COUNTIF(T$7:T$7,"遅"),COUNTIF(T$7:T$7,"E"),COUNTIF(T$7:T$7,"8時"),COUNTIF(T$7:T$7,"ハヤ"),COUNTIF(T$7:T$7,"オソ"),COUNTIF(T$7:T$7,"イブ"))</f>
        <v>0</v>
      </c>
      <c r="U13" s="11">
        <f>SUM(COUNTIF(U$7:U$7,"○"),COUNTIF(U$7:U$7,"〇"),COUNTIF(U$7:U$7,"出"),COUNTIF(U$7:U$7,"早"),COUNTIF(U$7:U$7,"遅"),COUNTIF(U$7:U$7,"E"),COUNTIF(U$7:U$7,"8時"),COUNTIF(U$7:U$7,"ハヤ"),COUNTIF(U$7:U$7,"オソ"),COUNTIF(U$7:U$7,"イブ"))</f>
        <v>0</v>
      </c>
      <c r="V13" s="11">
        <f>SUM(COUNTIF(V$7:V$7,"○"),COUNTIF(V$7:V$7,"〇"),COUNTIF(V$7:V$7,"出"),COUNTIF(V$7:V$7,"早"),COUNTIF(V$7:V$7,"遅"),COUNTIF(V$7:V$7,"E"),COUNTIF(V$7:V$7,"8時"),COUNTIF(V$7:V$7,"ハヤ"),COUNTIF(V$7:V$7,"オソ"),COUNTIF(V$7:V$7,"イブ"))</f>
        <v>0</v>
      </c>
      <c r="W13" s="11">
        <f>SUM(COUNTIF(W$7:W$7,"○"),COUNTIF(W$7:W$7,"〇"),COUNTIF(W$7:W$7,"出"),COUNTIF(W$7:W$7,"早"),COUNTIF(W$7:W$7,"遅"),COUNTIF(W$7:W$7,"E"),COUNTIF(W$7:W$7,"8時"),COUNTIF(W$7:W$7,"ハヤ"),COUNTIF(W$7:W$7,"オソ"),COUNTIF(W$7:W$7,"イブ"))</f>
        <v>0</v>
      </c>
      <c r="X13" s="11">
        <f>SUM(COUNTIF(X$7:X$7,"○"),COUNTIF(X$7:X$7,"〇"),COUNTIF(X$7:X$7,"出"),COUNTIF(X$7:X$7,"早"),COUNTIF(X$7:X$7,"遅"),COUNTIF(X$7:X$7,"E"),COUNTIF(X$7:X$7,"8時"),COUNTIF(X$7:X$7,"ハヤ"),COUNTIF(X$7:X$7,"オソ"),COUNTIF(X$7:X$7,"イブ"))</f>
        <v>0</v>
      </c>
      <c r="Y13" s="11">
        <f>SUM(COUNTIF(Y$7:Y$7,"○"),COUNTIF(Y$7:Y$7,"〇"),COUNTIF(Y$7:Y$7,"出"),COUNTIF(Y$7:Y$7,"早"),COUNTIF(Y$7:Y$7,"遅"),COUNTIF(Y$7:Y$7,"E"),COUNTIF(Y$7:Y$7,"8時"),COUNTIF(Y$7:Y$7,"ハヤ"),COUNTIF(Y$7:Y$7,"オソ"),COUNTIF(Y$7:Y$7,"イブ"))</f>
        <v>0</v>
      </c>
      <c r="Z13" s="11">
        <f>SUM(COUNTIF(Z$7:Z$7,"○"),COUNTIF(Z$7:Z$7,"〇"),COUNTIF(Z$7:Z$7,"出"),COUNTIF(Z$7:Z$7,"早"),COUNTIF(Z$7:Z$7,"遅"),COUNTIF(Z$7:Z$7,"E"),COUNTIF(Z$7:Z$7,"8時"),COUNTIF(Z$7:Z$7,"ハヤ"),COUNTIF(Z$7:Z$7,"オソ"),COUNTIF(Z$7:Z$7,"イブ"))</f>
        <v>0</v>
      </c>
      <c r="AA13" s="11">
        <f>SUM(COUNTIF(AA$7:AA$7,"○"),COUNTIF(AA$7:AA$7,"〇"),COUNTIF(AA$7:AA$7,"出"),COUNTIF(AA$7:AA$7,"早"),COUNTIF(AA$7:AA$7,"遅"),COUNTIF(AA$7:AA$7,"E"),COUNTIF(AA$7:AA$7,"8時"),COUNTIF(AA$7:AA$7,"ハヤ"),COUNTIF(AA$7:AA$7,"オソ"),COUNTIF(AA$7:AA$7,"イブ"))</f>
        <v>0</v>
      </c>
      <c r="AB13" s="11">
        <f>SUM(COUNTIF(AB$7:AB$7,"○"),COUNTIF(AB$7:AB$7,"〇"),COUNTIF(AB$7:AB$7,"出"),COUNTIF(AB$7:AB$7,"早"),COUNTIF(AB$7:AB$7,"遅"),COUNTIF(AB$7:AB$7,"E"),COUNTIF(AB$7:AB$7,"8時"),COUNTIF(AB$7:AB$7,"ハヤ"),COUNTIF(AB$7:AB$7,"オソ"),COUNTIF(AB$7:AB$7,"イブ"))</f>
        <v>0</v>
      </c>
      <c r="AC13" s="11">
        <f>SUM(COUNTIF(AC$7:AC$7,"○"),COUNTIF(AC$7:AC$7,"〇"),COUNTIF(AC$7:AC$7,"出"),COUNTIF(AC$7:AC$7,"早"),COUNTIF(AC$7:AC$7,"遅"),COUNTIF(AC$7:AC$7,"E"),COUNTIF(AC$7:AC$7,"8時"),COUNTIF(AC$7:AC$7,"ハヤ"),COUNTIF(AC$7:AC$7,"オソ"),COUNTIF(AC$7:AC$7,"イブ"))</f>
        <v>0</v>
      </c>
      <c r="AD13" s="11">
        <f>SUM(B13:AC13)</f>
        <v>0</v>
      </c>
      <c r="AE13" s="11" t="inlineStr">
        <is>
          <t>-</t>
        </is>
      </c>
      <c r="AF13" s="11" t="inlineStr">
        <is>
          <t>-</t>
        </is>
      </c>
      <c r="AG13" s="11" t="inlineStr">
        <is>
          <t>-</t>
        </is>
      </c>
      <c r="AH13" s="11" t="inlineStr">
        <is>
          <t>-</t>
        </is>
      </c>
      <c r="AI13" s="11" t="inlineStr">
        <is>
          <t>-</t>
        </is>
      </c>
      <c r="AJ13" s="11" t="inlineStr">
        <is>
          <t>-</t>
        </is>
      </c>
      <c r="AK13" s="11" t="inlineStr">
        <is>
          <t>-</t>
        </is>
      </c>
    </row>
    <row r="14" ht="20" customHeight="1">
      <c r="A14" s="11" t="inlineStr">
        <is>
          <t>OT B 出勤</t>
        </is>
      </c>
      <c r="B14" s="11">
        <f>SUM(COUNTIF(B$8:B$8,"○"),COUNTIF(B$8:B$8,"〇"),COUNTIF(B$8:B$8,"出"),COUNTIF(B$8:B$8,"早"),COUNTIF(B$8:B$8,"遅"),COUNTIF(B$8:B$8,"E"),COUNTIF(B$8:B$8,"8時"),COUNTIF(B$8:B$8,"ハヤ"),COUNTIF(B$8:B$8,"オソ"),COUNTIF(B$8:B$8,"イブ"))</f>
        <v>0</v>
      </c>
      <c r="C14" s="11">
        <f>SUM(COUNTIF(C$8:C$8,"○"),COUNTIF(C$8:C$8,"〇"),COUNTIF(C$8:C$8,"出"),COUNTIF(C$8:C$8,"早"),COUNTIF(C$8:C$8,"遅"),COUNTIF(C$8:C$8,"E"),COUNTIF(C$8:C$8,"8時"),COUNTIF(C$8:C$8,"ハヤ"),COUNTIF(C$8:C$8,"オソ"),COUNTIF(C$8:C$8,"イブ"))</f>
        <v>0</v>
      </c>
      <c r="D14" s="11">
        <f>SUM(COUNTIF(D$8:D$8,"○"),COUNTIF(D$8:D$8,"〇"),COUNTIF(D$8:D$8,"出"),COUNTIF(D$8:D$8,"早"),COUNTIF(D$8:D$8,"遅"),COUNTIF(D$8:D$8,"E"),COUNTIF(D$8:D$8,"8時"),COUNTIF(D$8:D$8,"ハヤ"),COUNTIF(D$8:D$8,"オソ"),COUNTIF(D$8:D$8,"イブ"))</f>
        <v>0</v>
      </c>
      <c r="E14" s="11">
        <f>SUM(COUNTIF(E$8:E$8,"○"),COUNTIF(E$8:E$8,"〇"),COUNTIF(E$8:E$8,"出"),COUNTIF(E$8:E$8,"早"),COUNTIF(E$8:E$8,"遅"),COUNTIF(E$8:E$8,"E"),COUNTIF(E$8:E$8,"8時"),COUNTIF(E$8:E$8,"ハヤ"),COUNTIF(E$8:E$8,"オソ"),COUNTIF(E$8:E$8,"イブ"))</f>
        <v>0</v>
      </c>
      <c r="F14" s="11">
        <f>SUM(COUNTIF(F$8:F$8,"○"),COUNTIF(F$8:F$8,"〇"),COUNTIF(F$8:F$8,"出"),COUNTIF(F$8:F$8,"早"),COUNTIF(F$8:F$8,"遅"),COUNTIF(F$8:F$8,"E"),COUNTIF(F$8:F$8,"8時"),COUNTIF(F$8:F$8,"ハヤ"),COUNTIF(F$8:F$8,"オソ"),COUNTIF(F$8:F$8,"イブ"))</f>
        <v>0</v>
      </c>
      <c r="G14" s="11">
        <f>SUM(COUNTIF(G$8:G$8,"○"),COUNTIF(G$8:G$8,"〇"),COUNTIF(G$8:G$8,"出"),COUNTIF(G$8:G$8,"早"),COUNTIF(G$8:G$8,"遅"),COUNTIF(G$8:G$8,"E"),COUNTIF(G$8:G$8,"8時"),COUNTIF(G$8:G$8,"ハヤ"),COUNTIF(G$8:G$8,"オソ"),COUNTIF(G$8:G$8,"イブ"))</f>
        <v>0</v>
      </c>
      <c r="H14" s="11">
        <f>SUM(COUNTIF(H$8:H$8,"○"),COUNTIF(H$8:H$8,"〇"),COUNTIF(H$8:H$8,"出"),COUNTIF(H$8:H$8,"早"),COUNTIF(H$8:H$8,"遅"),COUNTIF(H$8:H$8,"E"),COUNTIF(H$8:H$8,"8時"),COUNTIF(H$8:H$8,"ハヤ"),COUNTIF(H$8:H$8,"オソ"),COUNTIF(H$8:H$8,"イブ"))</f>
        <v>0</v>
      </c>
      <c r="I14" s="11">
        <f>SUM(COUNTIF(I$8:I$8,"○"),COUNTIF(I$8:I$8,"〇"),COUNTIF(I$8:I$8,"出"),COUNTIF(I$8:I$8,"早"),COUNTIF(I$8:I$8,"遅"),COUNTIF(I$8:I$8,"E"),COUNTIF(I$8:I$8,"8時"),COUNTIF(I$8:I$8,"ハヤ"),COUNTIF(I$8:I$8,"オソ"),COUNTIF(I$8:I$8,"イブ"))</f>
        <v>0</v>
      </c>
      <c r="J14" s="11">
        <f>SUM(COUNTIF(J$8:J$8,"○"),COUNTIF(J$8:J$8,"〇"),COUNTIF(J$8:J$8,"出"),COUNTIF(J$8:J$8,"早"),COUNTIF(J$8:J$8,"遅"),COUNTIF(J$8:J$8,"E"),COUNTIF(J$8:J$8,"8時"),COUNTIF(J$8:J$8,"ハヤ"),COUNTIF(J$8:J$8,"オソ"),COUNTIF(J$8:J$8,"イブ"))</f>
        <v>0</v>
      </c>
      <c r="K14" s="11">
        <f>SUM(COUNTIF(K$8:K$8,"○"),COUNTIF(K$8:K$8,"〇"),COUNTIF(K$8:K$8,"出"),COUNTIF(K$8:K$8,"早"),COUNTIF(K$8:K$8,"遅"),COUNTIF(K$8:K$8,"E"),COUNTIF(K$8:K$8,"8時"),COUNTIF(K$8:K$8,"ハヤ"),COUNTIF(K$8:K$8,"オソ"),COUNTIF(K$8:K$8,"イブ"))</f>
        <v>0</v>
      </c>
      <c r="L14" s="11">
        <f>SUM(COUNTIF(L$8:L$8,"○"),COUNTIF(L$8:L$8,"〇"),COUNTIF(L$8:L$8,"出"),COUNTIF(L$8:L$8,"早"),COUNTIF(L$8:L$8,"遅"),COUNTIF(L$8:L$8,"E"),COUNTIF(L$8:L$8,"8時"),COUNTIF(L$8:L$8,"ハヤ"),COUNTIF(L$8:L$8,"オソ"),COUNTIF(L$8:L$8,"イブ"))</f>
        <v>0</v>
      </c>
      <c r="M14" s="11">
        <f>SUM(COUNTIF(M$8:M$8,"○"),COUNTIF(M$8:M$8,"〇"),COUNTIF(M$8:M$8,"出"),COUNTIF(M$8:M$8,"早"),COUNTIF(M$8:M$8,"遅"),COUNTIF(M$8:M$8,"E"),COUNTIF(M$8:M$8,"8時"),COUNTIF(M$8:M$8,"ハヤ"),COUNTIF(M$8:M$8,"オソ"),COUNTIF(M$8:M$8,"イブ"))</f>
        <v>0</v>
      </c>
      <c r="N14" s="11">
        <f>SUM(COUNTIF(N$8:N$8,"○"),COUNTIF(N$8:N$8,"〇"),COUNTIF(N$8:N$8,"出"),COUNTIF(N$8:N$8,"早"),COUNTIF(N$8:N$8,"遅"),COUNTIF(N$8:N$8,"E"),COUNTIF(N$8:N$8,"8時"),COUNTIF(N$8:N$8,"ハヤ"),COUNTIF(N$8:N$8,"オソ"),COUNTIF(N$8:N$8,"イブ"))</f>
        <v>0</v>
      </c>
      <c r="O14" s="11">
        <f>SUM(COUNTIF(O$8:O$8,"○"),COUNTIF(O$8:O$8,"〇"),COUNTIF(O$8:O$8,"出"),COUNTIF(O$8:O$8,"早"),COUNTIF(O$8:O$8,"遅"),COUNTIF(O$8:O$8,"E"),COUNTIF(O$8:O$8,"8時"),COUNTIF(O$8:O$8,"ハヤ"),COUNTIF(O$8:O$8,"オソ"),COUNTIF(O$8:O$8,"イブ"))</f>
        <v>0</v>
      </c>
      <c r="P14" s="11">
        <f>SUM(COUNTIF(P$8:P$8,"○"),COUNTIF(P$8:P$8,"〇"),COUNTIF(P$8:P$8,"出"),COUNTIF(P$8:P$8,"早"),COUNTIF(P$8:P$8,"遅"),COUNTIF(P$8:P$8,"E"),COUNTIF(P$8:P$8,"8時"),COUNTIF(P$8:P$8,"ハヤ"),COUNTIF(P$8:P$8,"オソ"),COUNTIF(P$8:P$8,"イブ"))</f>
        <v>0</v>
      </c>
      <c r="Q14" s="11">
        <f>SUM(COUNTIF(Q$8:Q$8,"○"),COUNTIF(Q$8:Q$8,"〇"),COUNTIF(Q$8:Q$8,"出"),COUNTIF(Q$8:Q$8,"早"),COUNTIF(Q$8:Q$8,"遅"),COUNTIF(Q$8:Q$8,"E"),COUNTIF(Q$8:Q$8,"8時"),COUNTIF(Q$8:Q$8,"ハヤ"),COUNTIF(Q$8:Q$8,"オソ"),COUNTIF(Q$8:Q$8,"イブ"))</f>
        <v>0</v>
      </c>
      <c r="R14" s="11">
        <f>SUM(COUNTIF(R$8:R$8,"○"),COUNTIF(R$8:R$8,"〇"),COUNTIF(R$8:R$8,"出"),COUNTIF(R$8:R$8,"早"),COUNTIF(R$8:R$8,"遅"),COUNTIF(R$8:R$8,"E"),COUNTIF(R$8:R$8,"8時"),COUNTIF(R$8:R$8,"ハヤ"),COUNTIF(R$8:R$8,"オソ"),COUNTIF(R$8:R$8,"イブ"))</f>
        <v>0</v>
      </c>
      <c r="S14" s="11">
        <f>SUM(COUNTIF(S$8:S$8,"○"),COUNTIF(S$8:S$8,"〇"),COUNTIF(S$8:S$8,"出"),COUNTIF(S$8:S$8,"早"),COUNTIF(S$8:S$8,"遅"),COUNTIF(S$8:S$8,"E"),COUNTIF(S$8:S$8,"8時"),COUNTIF(S$8:S$8,"ハヤ"),COUNTIF(S$8:S$8,"オソ"),COUNTIF(S$8:S$8,"イブ"))</f>
        <v>0</v>
      </c>
      <c r="T14" s="11">
        <f>SUM(COUNTIF(T$8:T$8,"○"),COUNTIF(T$8:T$8,"〇"),COUNTIF(T$8:T$8,"出"),COUNTIF(T$8:T$8,"早"),COUNTIF(T$8:T$8,"遅"),COUNTIF(T$8:T$8,"E"),COUNTIF(T$8:T$8,"8時"),COUNTIF(T$8:T$8,"ハヤ"),COUNTIF(T$8:T$8,"オソ"),COUNTIF(T$8:T$8,"イブ"))</f>
        <v>0</v>
      </c>
      <c r="U14" s="11">
        <f>SUM(COUNTIF(U$8:U$8,"○"),COUNTIF(U$8:U$8,"〇"),COUNTIF(U$8:U$8,"出"),COUNTIF(U$8:U$8,"早"),COUNTIF(U$8:U$8,"遅"),COUNTIF(U$8:U$8,"E"),COUNTIF(U$8:U$8,"8時"),COUNTIF(U$8:U$8,"ハヤ"),COUNTIF(U$8:U$8,"オソ"),COUNTIF(U$8:U$8,"イブ"))</f>
        <v>0</v>
      </c>
      <c r="V14" s="11">
        <f>SUM(COUNTIF(V$8:V$8,"○"),COUNTIF(V$8:V$8,"〇"),COUNTIF(V$8:V$8,"出"),COUNTIF(V$8:V$8,"早"),COUNTIF(V$8:V$8,"遅"),COUNTIF(V$8:V$8,"E"),COUNTIF(V$8:V$8,"8時"),COUNTIF(V$8:V$8,"ハヤ"),COUNTIF(V$8:V$8,"オソ"),COUNTIF(V$8:V$8,"イブ"))</f>
        <v>0</v>
      </c>
      <c r="W14" s="11">
        <f>SUM(COUNTIF(W$8:W$8,"○"),COUNTIF(W$8:W$8,"〇"),COUNTIF(W$8:W$8,"出"),COUNTIF(W$8:W$8,"早"),COUNTIF(W$8:W$8,"遅"),COUNTIF(W$8:W$8,"E"),COUNTIF(W$8:W$8,"8時"),COUNTIF(W$8:W$8,"ハヤ"),COUNTIF(W$8:W$8,"オソ"),COUNTIF(W$8:W$8,"イブ"))</f>
        <v>0</v>
      </c>
      <c r="X14" s="11">
        <f>SUM(COUNTIF(X$8:X$8,"○"),COUNTIF(X$8:X$8,"〇"),COUNTIF(X$8:X$8,"出"),COUNTIF(X$8:X$8,"早"),COUNTIF(X$8:X$8,"遅"),COUNTIF(X$8:X$8,"E"),COUNTIF(X$8:X$8,"8時"),COUNTIF(X$8:X$8,"ハヤ"),COUNTIF(X$8:X$8,"オソ"),COUNTIF(X$8:X$8,"イブ"))</f>
        <v>0</v>
      </c>
      <c r="Y14" s="11">
        <f>SUM(COUNTIF(Y$8:Y$8,"○"),COUNTIF(Y$8:Y$8,"〇"),COUNTIF(Y$8:Y$8,"出"),COUNTIF(Y$8:Y$8,"早"),COUNTIF(Y$8:Y$8,"遅"),COUNTIF(Y$8:Y$8,"E"),COUNTIF(Y$8:Y$8,"8時"),COUNTIF(Y$8:Y$8,"ハヤ"),COUNTIF(Y$8:Y$8,"オソ"),COUNTIF(Y$8:Y$8,"イブ"))</f>
        <v>0</v>
      </c>
      <c r="Z14" s="11">
        <f>SUM(COUNTIF(Z$8:Z$8,"○"),COUNTIF(Z$8:Z$8,"〇"),COUNTIF(Z$8:Z$8,"出"),COUNTIF(Z$8:Z$8,"早"),COUNTIF(Z$8:Z$8,"遅"),COUNTIF(Z$8:Z$8,"E"),COUNTIF(Z$8:Z$8,"8時"),COUNTIF(Z$8:Z$8,"ハヤ"),COUNTIF(Z$8:Z$8,"オソ"),COUNTIF(Z$8:Z$8,"イブ"))</f>
        <v>0</v>
      </c>
      <c r="AA14" s="11">
        <f>SUM(COUNTIF(AA$8:AA$8,"○"),COUNTIF(AA$8:AA$8,"〇"),COUNTIF(AA$8:AA$8,"出"),COUNTIF(AA$8:AA$8,"早"),COUNTIF(AA$8:AA$8,"遅"),COUNTIF(AA$8:AA$8,"E"),COUNTIF(AA$8:AA$8,"8時"),COUNTIF(AA$8:AA$8,"ハヤ"),COUNTIF(AA$8:AA$8,"オソ"),COUNTIF(AA$8:AA$8,"イブ"))</f>
        <v>0</v>
      </c>
      <c r="AB14" s="11">
        <f>SUM(COUNTIF(AB$8:AB$8,"○"),COUNTIF(AB$8:AB$8,"〇"),COUNTIF(AB$8:AB$8,"出"),COUNTIF(AB$8:AB$8,"早"),COUNTIF(AB$8:AB$8,"遅"),COUNTIF(AB$8:AB$8,"E"),COUNTIF(AB$8:AB$8,"8時"),COUNTIF(AB$8:AB$8,"ハヤ"),COUNTIF(AB$8:AB$8,"オソ"),COUNTIF(AB$8:AB$8,"イブ"))</f>
        <v>0</v>
      </c>
      <c r="AC14" s="11">
        <f>SUM(COUNTIF(AC$8:AC$8,"○"),COUNTIF(AC$8:AC$8,"〇"),COUNTIF(AC$8:AC$8,"出"),COUNTIF(AC$8:AC$8,"早"),COUNTIF(AC$8:AC$8,"遅"),COUNTIF(AC$8:AC$8,"E"),COUNTIF(AC$8:AC$8,"8時"),COUNTIF(AC$8:AC$8,"ハヤ"),COUNTIF(AC$8:AC$8,"オソ"),COUNTIF(AC$8:AC$8,"イブ"))</f>
        <v>0</v>
      </c>
      <c r="AD14" s="11">
        <f>SUM(B14:AC14)</f>
        <v>0</v>
      </c>
      <c r="AE14" s="11" t="inlineStr">
        <is>
          <t>-</t>
        </is>
      </c>
      <c r="AF14" s="11" t="inlineStr">
        <is>
          <t>-</t>
        </is>
      </c>
      <c r="AG14" s="11" t="inlineStr">
        <is>
          <t>-</t>
        </is>
      </c>
      <c r="AH14" s="11" t="inlineStr">
        <is>
          <t>-</t>
        </is>
      </c>
      <c r="AI14" s="11" t="inlineStr">
        <is>
          <t>-</t>
        </is>
      </c>
      <c r="AJ14" s="11" t="inlineStr">
        <is>
          <t>-</t>
        </is>
      </c>
      <c r="AK14" s="11" t="inlineStr">
        <is>
          <t>-</t>
        </is>
      </c>
    </row>
    <row r="15" ht="20" customHeight="1">
      <c r="A15" s="12" t="inlineStr">
        <is>
          <t>ST 出勤</t>
        </is>
      </c>
      <c r="B15" s="12">
        <f>IF((ROW()-7)&lt;55,0,SUM(COUNTIF(INDIRECT("B$55:B"&amp;(ROW()-7)),"○"),COUNTIF(INDIRECT("B$55:B"&amp;(ROW()-7)),"〇"),COUNTIF(INDIRECT("B$55:B"&amp;(ROW()-7)),"出"),COUNTIF(INDIRECT("B$55:B"&amp;(ROW()-7)),"早"),COUNTIF(INDIRECT("B$55:B"&amp;(ROW()-7)),"遅"),COUNTIF(INDIRECT("B$55:B"&amp;(ROW()-7)),"E"),COUNTIF(INDIRECT("B$55:B"&amp;(ROW()-7)),"8時"),COUNTIF(INDIRECT("B$55:B"&amp;(ROW()-7)),"ハヤ"),COUNTIF(INDIRECT("B$55:B"&amp;(ROW()-7)),"オソ"),COUNTIF(INDIRECT("B$55:B"&amp;(ROW()-7)),"イブ")) )</f>
        <v>0</v>
      </c>
      <c r="C15" s="12">
        <f>IF((ROW()-7)&lt;55,0,SUM(COUNTIF(INDIRECT("C$55:C"&amp;(ROW()-7)),"○"),COUNTIF(INDIRECT("C$55:C"&amp;(ROW()-7)),"〇"),COUNTIF(INDIRECT("C$55:C"&amp;(ROW()-7)),"出"),COUNTIF(INDIRECT("C$55:C"&amp;(ROW()-7)),"早"),COUNTIF(INDIRECT("C$55:C"&amp;(ROW()-7)),"遅"),COUNTIF(INDIRECT("C$55:C"&amp;(ROW()-7)),"E"),COUNTIF(INDIRECT("C$55:C"&amp;(ROW()-7)),"8時"),COUNTIF(INDIRECT("C$55:C"&amp;(ROW()-7)),"ハヤ"),COUNTIF(INDIRECT("C$55:C"&amp;(ROW()-7)),"オソ"),COUNTIF(INDIRECT("C$55:C"&amp;(ROW()-7)),"イブ")) )</f>
        <v>0</v>
      </c>
      <c r="D15" s="12">
        <f>IF((ROW()-7)&lt;55,0,SUM(COUNTIF(INDIRECT("D$55:D"&amp;(ROW()-7)),"○"),COUNTIF(INDIRECT("D$55:D"&amp;(ROW()-7)),"〇"),COUNTIF(INDIRECT("D$55:D"&amp;(ROW()-7)),"出"),COUNTIF(INDIRECT("D$55:D"&amp;(ROW()-7)),"早"),COUNTIF(INDIRECT("D$55:D"&amp;(ROW()-7)),"遅"),COUNTIF(INDIRECT("D$55:D"&amp;(ROW()-7)),"E"),COUNTIF(INDIRECT("D$55:D"&amp;(ROW()-7)),"8時"),COUNTIF(INDIRECT("D$55:D"&amp;(ROW()-7)),"ハヤ"),COUNTIF(INDIRECT("D$55:D"&amp;(ROW()-7)),"オソ"),COUNTIF(INDIRECT("D$55:D"&amp;(ROW()-7)),"イブ")) )</f>
        <v>0</v>
      </c>
      <c r="E15" s="12">
        <f>IF((ROW()-7)&lt;55,0,SUM(COUNTIF(INDIRECT("E$55:E"&amp;(ROW()-7)),"○"),COUNTIF(INDIRECT("E$55:E"&amp;(ROW()-7)),"〇"),COUNTIF(INDIRECT("E$55:E"&amp;(ROW()-7)),"出"),COUNTIF(INDIRECT("E$55:E"&amp;(ROW()-7)),"早"),COUNTIF(INDIRECT("E$55:E"&amp;(ROW()-7)),"遅"),COUNTIF(INDIRECT("E$55:E"&amp;(ROW()-7)),"E"),COUNTIF(INDIRECT("E$55:E"&amp;(ROW()-7)),"8時"),COUNTIF(INDIRECT("E$55:E"&amp;(ROW()-7)),"ハヤ"),COUNTIF(INDIRECT("E$55:E"&amp;(ROW()-7)),"オソ"),COUNTIF(INDIRECT("E$55:E"&amp;(ROW()-7)),"イブ")) )</f>
        <v>0</v>
      </c>
      <c r="F15" s="12">
        <f>IF((ROW()-7)&lt;55,0,SUM(COUNTIF(INDIRECT("F$55:F"&amp;(ROW()-7)),"○"),COUNTIF(INDIRECT("F$55:F"&amp;(ROW()-7)),"〇"),COUNTIF(INDIRECT("F$55:F"&amp;(ROW()-7)),"出"),COUNTIF(INDIRECT("F$55:F"&amp;(ROW()-7)),"早"),COUNTIF(INDIRECT("F$55:F"&amp;(ROW()-7)),"遅"),COUNTIF(INDIRECT("F$55:F"&amp;(ROW()-7)),"E"),COUNTIF(INDIRECT("F$55:F"&amp;(ROW()-7)),"8時"),COUNTIF(INDIRECT("F$55:F"&amp;(ROW()-7)),"ハヤ"),COUNTIF(INDIRECT("F$55:F"&amp;(ROW()-7)),"オソ"),COUNTIF(INDIRECT("F$55:F"&amp;(ROW()-7)),"イブ")) )</f>
        <v>0</v>
      </c>
      <c r="G15" s="12">
        <f>IF((ROW()-7)&lt;55,0,SUM(COUNTIF(INDIRECT("G$55:G"&amp;(ROW()-7)),"○"),COUNTIF(INDIRECT("G$55:G"&amp;(ROW()-7)),"〇"),COUNTIF(INDIRECT("G$55:G"&amp;(ROW()-7)),"出"),COUNTIF(INDIRECT("G$55:G"&amp;(ROW()-7)),"早"),COUNTIF(INDIRECT("G$55:G"&amp;(ROW()-7)),"遅"),COUNTIF(INDIRECT("G$55:G"&amp;(ROW()-7)),"E"),COUNTIF(INDIRECT("G$55:G"&amp;(ROW()-7)),"8時"),COUNTIF(INDIRECT("G$55:G"&amp;(ROW()-7)),"ハヤ"),COUNTIF(INDIRECT("G$55:G"&amp;(ROW()-7)),"オソ"),COUNTIF(INDIRECT("G$55:G"&amp;(ROW()-7)),"イブ")) )</f>
        <v>0</v>
      </c>
      <c r="H15" s="12">
        <f>IF((ROW()-7)&lt;55,0,SUM(COUNTIF(INDIRECT("H$55:H"&amp;(ROW()-7)),"○"),COUNTIF(INDIRECT("H$55:H"&amp;(ROW()-7)),"〇"),COUNTIF(INDIRECT("H$55:H"&amp;(ROW()-7)),"出"),COUNTIF(INDIRECT("H$55:H"&amp;(ROW()-7)),"早"),COUNTIF(INDIRECT("H$55:H"&amp;(ROW()-7)),"遅"),COUNTIF(INDIRECT("H$55:H"&amp;(ROW()-7)),"E"),COUNTIF(INDIRECT("H$55:H"&amp;(ROW()-7)),"8時"),COUNTIF(INDIRECT("H$55:H"&amp;(ROW()-7)),"ハヤ"),COUNTIF(INDIRECT("H$55:H"&amp;(ROW()-7)),"オソ"),COUNTIF(INDIRECT("H$55:H"&amp;(ROW()-7)),"イブ")) )</f>
        <v>0</v>
      </c>
      <c r="I15" s="12">
        <f>IF((ROW()-7)&lt;55,0,SUM(COUNTIF(INDIRECT("I$55:I"&amp;(ROW()-7)),"○"),COUNTIF(INDIRECT("I$55:I"&amp;(ROW()-7)),"〇"),COUNTIF(INDIRECT("I$55:I"&amp;(ROW()-7)),"出"),COUNTIF(INDIRECT("I$55:I"&amp;(ROW()-7)),"早"),COUNTIF(INDIRECT("I$55:I"&amp;(ROW()-7)),"遅"),COUNTIF(INDIRECT("I$55:I"&amp;(ROW()-7)),"E"),COUNTIF(INDIRECT("I$55:I"&amp;(ROW()-7)),"8時"),COUNTIF(INDIRECT("I$55:I"&amp;(ROW()-7)),"ハヤ"),COUNTIF(INDIRECT("I$55:I"&amp;(ROW()-7)),"オソ"),COUNTIF(INDIRECT("I$55:I"&amp;(ROW()-7)),"イブ")) )</f>
        <v>0</v>
      </c>
      <c r="J15" s="12">
        <f>IF((ROW()-7)&lt;55,0,SUM(COUNTIF(INDIRECT("J$55:J"&amp;(ROW()-7)),"○"),COUNTIF(INDIRECT("J$55:J"&amp;(ROW()-7)),"〇"),COUNTIF(INDIRECT("J$55:J"&amp;(ROW()-7)),"出"),COUNTIF(INDIRECT("J$55:J"&amp;(ROW()-7)),"早"),COUNTIF(INDIRECT("J$55:J"&amp;(ROW()-7)),"遅"),COUNTIF(INDIRECT("J$55:J"&amp;(ROW()-7)),"E"),COUNTIF(INDIRECT("J$55:J"&amp;(ROW()-7)),"8時"),COUNTIF(INDIRECT("J$55:J"&amp;(ROW()-7)),"ハヤ"),COUNTIF(INDIRECT("J$55:J"&amp;(ROW()-7)),"オソ"),COUNTIF(INDIRECT("J$55:J"&amp;(ROW()-7)),"イブ")) )</f>
        <v>0</v>
      </c>
      <c r="K15" s="12">
        <f>IF((ROW()-7)&lt;55,0,SUM(COUNTIF(INDIRECT("K$55:K"&amp;(ROW()-7)),"○"),COUNTIF(INDIRECT("K$55:K"&amp;(ROW()-7)),"〇"),COUNTIF(INDIRECT("K$55:K"&amp;(ROW()-7)),"出"),COUNTIF(INDIRECT("K$55:K"&amp;(ROW()-7)),"早"),COUNTIF(INDIRECT("K$55:K"&amp;(ROW()-7)),"遅"),COUNTIF(INDIRECT("K$55:K"&amp;(ROW()-7)),"E"),COUNTIF(INDIRECT("K$55:K"&amp;(ROW()-7)),"8時"),COUNTIF(INDIRECT("K$55:K"&amp;(ROW()-7)),"ハヤ"),COUNTIF(INDIRECT("K$55:K"&amp;(ROW()-7)),"オソ"),COUNTIF(INDIRECT("K$55:K"&amp;(ROW()-7)),"イブ")) )</f>
        <v>0</v>
      </c>
      <c r="L15" s="12">
        <f>IF((ROW()-7)&lt;55,0,SUM(COUNTIF(INDIRECT("L$55:L"&amp;(ROW()-7)),"○"),COUNTIF(INDIRECT("L$55:L"&amp;(ROW()-7)),"〇"),COUNTIF(INDIRECT("L$55:L"&amp;(ROW()-7)),"出"),COUNTIF(INDIRECT("L$55:L"&amp;(ROW()-7)),"早"),COUNTIF(INDIRECT("L$55:L"&amp;(ROW()-7)),"遅"),COUNTIF(INDIRECT("L$55:L"&amp;(ROW()-7)),"E"),COUNTIF(INDIRECT("L$55:L"&amp;(ROW()-7)),"8時"),COUNTIF(INDIRECT("L$55:L"&amp;(ROW()-7)),"ハヤ"),COUNTIF(INDIRECT("L$55:L"&amp;(ROW()-7)),"オソ"),COUNTIF(INDIRECT("L$55:L"&amp;(ROW()-7)),"イブ")) )</f>
        <v>0</v>
      </c>
      <c r="M15" s="12">
        <f>IF((ROW()-7)&lt;55,0,SUM(COUNTIF(INDIRECT("M$55:M"&amp;(ROW()-7)),"○"),COUNTIF(INDIRECT("M$55:M"&amp;(ROW()-7)),"〇"),COUNTIF(INDIRECT("M$55:M"&amp;(ROW()-7)),"出"),COUNTIF(INDIRECT("M$55:M"&amp;(ROW()-7)),"早"),COUNTIF(INDIRECT("M$55:M"&amp;(ROW()-7)),"遅"),COUNTIF(INDIRECT("M$55:M"&amp;(ROW()-7)),"E"),COUNTIF(INDIRECT("M$55:M"&amp;(ROW()-7)),"8時"),COUNTIF(INDIRECT("M$55:M"&amp;(ROW()-7)),"ハヤ"),COUNTIF(INDIRECT("M$55:M"&amp;(ROW()-7)),"オソ"),COUNTIF(INDIRECT("M$55:M"&amp;(ROW()-7)),"イブ")) )</f>
        <v>0</v>
      </c>
      <c r="N15" s="12">
        <f>IF((ROW()-7)&lt;55,0,SUM(COUNTIF(INDIRECT("N$55:N"&amp;(ROW()-7)),"○"),COUNTIF(INDIRECT("N$55:N"&amp;(ROW()-7)),"〇"),COUNTIF(INDIRECT("N$55:N"&amp;(ROW()-7)),"出"),COUNTIF(INDIRECT("N$55:N"&amp;(ROW()-7)),"早"),COUNTIF(INDIRECT("N$55:N"&amp;(ROW()-7)),"遅"),COUNTIF(INDIRECT("N$55:N"&amp;(ROW()-7)),"E"),COUNTIF(INDIRECT("N$55:N"&amp;(ROW()-7)),"8時"),COUNTIF(INDIRECT("N$55:N"&amp;(ROW()-7)),"ハヤ"),COUNTIF(INDIRECT("N$55:N"&amp;(ROW()-7)),"オソ"),COUNTIF(INDIRECT("N$55:N"&amp;(ROW()-7)),"イブ")) )</f>
        <v>0</v>
      </c>
      <c r="O15" s="12">
        <f>IF((ROW()-7)&lt;55,0,SUM(COUNTIF(INDIRECT("O$55:O"&amp;(ROW()-7)),"○"),COUNTIF(INDIRECT("O$55:O"&amp;(ROW()-7)),"〇"),COUNTIF(INDIRECT("O$55:O"&amp;(ROW()-7)),"出"),COUNTIF(INDIRECT("O$55:O"&amp;(ROW()-7)),"早"),COUNTIF(INDIRECT("O$55:O"&amp;(ROW()-7)),"遅"),COUNTIF(INDIRECT("O$55:O"&amp;(ROW()-7)),"E"),COUNTIF(INDIRECT("O$55:O"&amp;(ROW()-7)),"8時"),COUNTIF(INDIRECT("O$55:O"&amp;(ROW()-7)),"ハヤ"),COUNTIF(INDIRECT("O$55:O"&amp;(ROW()-7)),"オソ"),COUNTIF(INDIRECT("O$55:O"&amp;(ROW()-7)),"イブ")) )</f>
        <v>0</v>
      </c>
      <c r="P15" s="12">
        <f>IF((ROW()-7)&lt;55,0,SUM(COUNTIF(INDIRECT("P$55:P"&amp;(ROW()-7)),"○"),COUNTIF(INDIRECT("P$55:P"&amp;(ROW()-7)),"〇"),COUNTIF(INDIRECT("P$55:P"&amp;(ROW()-7)),"出"),COUNTIF(INDIRECT("P$55:P"&amp;(ROW()-7)),"早"),COUNTIF(INDIRECT("P$55:P"&amp;(ROW()-7)),"遅"),COUNTIF(INDIRECT("P$55:P"&amp;(ROW()-7)),"E"),COUNTIF(INDIRECT("P$55:P"&amp;(ROW()-7)),"8時"),COUNTIF(INDIRECT("P$55:P"&amp;(ROW()-7)),"ハヤ"),COUNTIF(INDIRECT("P$55:P"&amp;(ROW()-7)),"オソ"),COUNTIF(INDIRECT("P$55:P"&amp;(ROW()-7)),"イブ")) )</f>
        <v>0</v>
      </c>
      <c r="Q15" s="12">
        <f>IF((ROW()-7)&lt;55,0,SUM(COUNTIF(INDIRECT("Q$55:Q"&amp;(ROW()-7)),"○"),COUNTIF(INDIRECT("Q$55:Q"&amp;(ROW()-7)),"〇"),COUNTIF(INDIRECT("Q$55:Q"&amp;(ROW()-7)),"出"),COUNTIF(INDIRECT("Q$55:Q"&amp;(ROW()-7)),"早"),COUNTIF(INDIRECT("Q$55:Q"&amp;(ROW()-7)),"遅"),COUNTIF(INDIRECT("Q$55:Q"&amp;(ROW()-7)),"E"),COUNTIF(INDIRECT("Q$55:Q"&amp;(ROW()-7)),"8時"),COUNTIF(INDIRECT("Q$55:Q"&amp;(ROW()-7)),"ハヤ"),COUNTIF(INDIRECT("Q$55:Q"&amp;(ROW()-7)),"オソ"),COUNTIF(INDIRECT("Q$55:Q"&amp;(ROW()-7)),"イブ")) )</f>
        <v>0</v>
      </c>
      <c r="R15" s="12">
        <f>IF((ROW()-7)&lt;55,0,SUM(COUNTIF(INDIRECT("R$55:R"&amp;(ROW()-7)),"○"),COUNTIF(INDIRECT("R$55:R"&amp;(ROW()-7)),"〇"),COUNTIF(INDIRECT("R$55:R"&amp;(ROW()-7)),"出"),COUNTIF(INDIRECT("R$55:R"&amp;(ROW()-7)),"早"),COUNTIF(INDIRECT("R$55:R"&amp;(ROW()-7)),"遅"),COUNTIF(INDIRECT("R$55:R"&amp;(ROW()-7)),"E"),COUNTIF(INDIRECT("R$55:R"&amp;(ROW()-7)),"8時"),COUNTIF(INDIRECT("R$55:R"&amp;(ROW()-7)),"ハヤ"),COUNTIF(INDIRECT("R$55:R"&amp;(ROW()-7)),"オソ"),COUNTIF(INDIRECT("R$55:R"&amp;(ROW()-7)),"イブ")) )</f>
        <v>0</v>
      </c>
      <c r="S15" s="12">
        <f>IF((ROW()-7)&lt;55,0,SUM(COUNTIF(INDIRECT("S$55:S"&amp;(ROW()-7)),"○"),COUNTIF(INDIRECT("S$55:S"&amp;(ROW()-7)),"〇"),COUNTIF(INDIRECT("S$55:S"&amp;(ROW()-7)),"出"),COUNTIF(INDIRECT("S$55:S"&amp;(ROW()-7)),"早"),COUNTIF(INDIRECT("S$55:S"&amp;(ROW()-7)),"遅"),COUNTIF(INDIRECT("S$55:S"&amp;(ROW()-7)),"E"),COUNTIF(INDIRECT("S$55:S"&amp;(ROW()-7)),"8時"),COUNTIF(INDIRECT("S$55:S"&amp;(ROW()-7)),"ハヤ"),COUNTIF(INDIRECT("S$55:S"&amp;(ROW()-7)),"オソ"),COUNTIF(INDIRECT("S$55:S"&amp;(ROW()-7)),"イブ")) )</f>
        <v>0</v>
      </c>
      <c r="T15" s="12">
        <f>IF((ROW()-7)&lt;55,0,SUM(COUNTIF(INDIRECT("T$55:T"&amp;(ROW()-7)),"○"),COUNTIF(INDIRECT("T$55:T"&amp;(ROW()-7)),"〇"),COUNTIF(INDIRECT("T$55:T"&amp;(ROW()-7)),"出"),COUNTIF(INDIRECT("T$55:T"&amp;(ROW()-7)),"早"),COUNTIF(INDIRECT("T$55:T"&amp;(ROW()-7)),"遅"),COUNTIF(INDIRECT("T$55:T"&amp;(ROW()-7)),"E"),COUNTIF(INDIRECT("T$55:T"&amp;(ROW()-7)),"8時"),COUNTIF(INDIRECT("T$55:T"&amp;(ROW()-7)),"ハヤ"),COUNTIF(INDIRECT("T$55:T"&amp;(ROW()-7)),"オソ"),COUNTIF(INDIRECT("T$55:T"&amp;(ROW()-7)),"イブ")) )</f>
        <v>0</v>
      </c>
      <c r="U15" s="12">
        <f>IF((ROW()-7)&lt;55,0,SUM(COUNTIF(INDIRECT("U$55:U"&amp;(ROW()-7)),"○"),COUNTIF(INDIRECT("U$55:U"&amp;(ROW()-7)),"〇"),COUNTIF(INDIRECT("U$55:U"&amp;(ROW()-7)),"出"),COUNTIF(INDIRECT("U$55:U"&amp;(ROW()-7)),"早"),COUNTIF(INDIRECT("U$55:U"&amp;(ROW()-7)),"遅"),COUNTIF(INDIRECT("U$55:U"&amp;(ROW()-7)),"E"),COUNTIF(INDIRECT("U$55:U"&amp;(ROW()-7)),"8時"),COUNTIF(INDIRECT("U$55:U"&amp;(ROW()-7)),"ハヤ"),COUNTIF(INDIRECT("U$55:U"&amp;(ROW()-7)),"オソ"),COUNTIF(INDIRECT("U$55:U"&amp;(ROW()-7)),"イブ")) )</f>
        <v>0</v>
      </c>
      <c r="V15" s="12">
        <f>IF((ROW()-7)&lt;55,0,SUM(COUNTIF(INDIRECT("V$55:V"&amp;(ROW()-7)),"○"),COUNTIF(INDIRECT("V$55:V"&amp;(ROW()-7)),"〇"),COUNTIF(INDIRECT("V$55:V"&amp;(ROW()-7)),"出"),COUNTIF(INDIRECT("V$55:V"&amp;(ROW()-7)),"早"),COUNTIF(INDIRECT("V$55:V"&amp;(ROW()-7)),"遅"),COUNTIF(INDIRECT("V$55:V"&amp;(ROW()-7)),"E"),COUNTIF(INDIRECT("V$55:V"&amp;(ROW()-7)),"8時"),COUNTIF(INDIRECT("V$55:V"&amp;(ROW()-7)),"ハヤ"),COUNTIF(INDIRECT("V$55:V"&amp;(ROW()-7)),"オソ"),COUNTIF(INDIRECT("V$55:V"&amp;(ROW()-7)),"イブ")) )</f>
        <v>0</v>
      </c>
      <c r="W15" s="12">
        <f>IF((ROW()-7)&lt;55,0,SUM(COUNTIF(INDIRECT("W$55:W"&amp;(ROW()-7)),"○"),COUNTIF(INDIRECT("W$55:W"&amp;(ROW()-7)),"〇"),COUNTIF(INDIRECT("W$55:W"&amp;(ROW()-7)),"出"),COUNTIF(INDIRECT("W$55:W"&amp;(ROW()-7)),"早"),COUNTIF(INDIRECT("W$55:W"&amp;(ROW()-7)),"遅"),COUNTIF(INDIRECT("W$55:W"&amp;(ROW()-7)),"E"),COUNTIF(INDIRECT("W$55:W"&amp;(ROW()-7)),"8時"),COUNTIF(INDIRECT("W$55:W"&amp;(ROW()-7)),"ハヤ"),COUNTIF(INDIRECT("W$55:W"&amp;(ROW()-7)),"オソ"),COUNTIF(INDIRECT("W$55:W"&amp;(ROW()-7)),"イブ")) )</f>
        <v>0</v>
      </c>
      <c r="X15" s="12">
        <f>IF((ROW()-7)&lt;55,0,SUM(COUNTIF(INDIRECT("X$55:X"&amp;(ROW()-7)),"○"),COUNTIF(INDIRECT("X$55:X"&amp;(ROW()-7)),"〇"),COUNTIF(INDIRECT("X$55:X"&amp;(ROW()-7)),"出"),COUNTIF(INDIRECT("X$55:X"&amp;(ROW()-7)),"早"),COUNTIF(INDIRECT("X$55:X"&amp;(ROW()-7)),"遅"),COUNTIF(INDIRECT("X$55:X"&amp;(ROW()-7)),"E"),COUNTIF(INDIRECT("X$55:X"&amp;(ROW()-7)),"8時"),COUNTIF(INDIRECT("X$55:X"&amp;(ROW()-7)),"ハヤ"),COUNTIF(INDIRECT("X$55:X"&amp;(ROW()-7)),"オソ"),COUNTIF(INDIRECT("X$55:X"&amp;(ROW()-7)),"イブ")) )</f>
        <v>0</v>
      </c>
      <c r="Y15" s="12">
        <f>IF((ROW()-7)&lt;55,0,SUM(COUNTIF(INDIRECT("Y$55:Y"&amp;(ROW()-7)),"○"),COUNTIF(INDIRECT("Y$55:Y"&amp;(ROW()-7)),"〇"),COUNTIF(INDIRECT("Y$55:Y"&amp;(ROW()-7)),"出"),COUNTIF(INDIRECT("Y$55:Y"&amp;(ROW()-7)),"早"),COUNTIF(INDIRECT("Y$55:Y"&amp;(ROW()-7)),"遅"),COUNTIF(INDIRECT("Y$55:Y"&amp;(ROW()-7)),"E"),COUNTIF(INDIRECT("Y$55:Y"&amp;(ROW()-7)),"8時"),COUNTIF(INDIRECT("Y$55:Y"&amp;(ROW()-7)),"ハヤ"),COUNTIF(INDIRECT("Y$55:Y"&amp;(ROW()-7)),"オソ"),COUNTIF(INDIRECT("Y$55:Y"&amp;(ROW()-7)),"イブ")) )</f>
        <v>0</v>
      </c>
      <c r="Z15" s="12">
        <f>IF((ROW()-7)&lt;55,0,SUM(COUNTIF(INDIRECT("Z$55:Z"&amp;(ROW()-7)),"○"),COUNTIF(INDIRECT("Z$55:Z"&amp;(ROW()-7)),"〇"),COUNTIF(INDIRECT("Z$55:Z"&amp;(ROW()-7)),"出"),COUNTIF(INDIRECT("Z$55:Z"&amp;(ROW()-7)),"早"),COUNTIF(INDIRECT("Z$55:Z"&amp;(ROW()-7)),"遅"),COUNTIF(INDIRECT("Z$55:Z"&amp;(ROW()-7)),"E"),COUNTIF(INDIRECT("Z$55:Z"&amp;(ROW()-7)),"8時"),COUNTIF(INDIRECT("Z$55:Z"&amp;(ROW()-7)),"ハヤ"),COUNTIF(INDIRECT("Z$55:Z"&amp;(ROW()-7)),"オソ"),COUNTIF(INDIRECT("Z$55:Z"&amp;(ROW()-7)),"イブ")) )</f>
        <v>0</v>
      </c>
      <c r="AA15" s="12">
        <f>IF((ROW()-7)&lt;55,0,SUM(COUNTIF(INDIRECT("AA$55:AA"&amp;(ROW()-7)),"○"),COUNTIF(INDIRECT("AA$55:AA"&amp;(ROW()-7)),"〇"),COUNTIF(INDIRECT("AA$55:AA"&amp;(ROW()-7)),"出"),COUNTIF(INDIRECT("AA$55:AA"&amp;(ROW()-7)),"早"),COUNTIF(INDIRECT("AA$55:AA"&amp;(ROW()-7)),"遅"),COUNTIF(INDIRECT("AA$55:AA"&amp;(ROW()-7)),"E"),COUNTIF(INDIRECT("AA$55:AA"&amp;(ROW()-7)),"8時"),COUNTIF(INDIRECT("AA$55:AA"&amp;(ROW()-7)),"ハヤ"),COUNTIF(INDIRECT("AA$55:AA"&amp;(ROW()-7)),"オソ"),COUNTIF(INDIRECT("AA$55:AA"&amp;(ROW()-7)),"イブ")) )</f>
        <v>0</v>
      </c>
      <c r="AB15" s="12">
        <f>IF((ROW()-7)&lt;55,0,SUM(COUNTIF(INDIRECT("AB$55:AB"&amp;(ROW()-7)),"○"),COUNTIF(INDIRECT("AB$55:AB"&amp;(ROW()-7)),"〇"),COUNTIF(INDIRECT("AB$55:AB"&amp;(ROW()-7)),"出"),COUNTIF(INDIRECT("AB$55:AB"&amp;(ROW()-7)),"早"),COUNTIF(INDIRECT("AB$55:AB"&amp;(ROW()-7)),"遅"),COUNTIF(INDIRECT("AB$55:AB"&amp;(ROW()-7)),"E"),COUNTIF(INDIRECT("AB$55:AB"&amp;(ROW()-7)),"8時"),COUNTIF(INDIRECT("AB$55:AB"&amp;(ROW()-7)),"ハヤ"),COUNTIF(INDIRECT("AB$55:AB"&amp;(ROW()-7)),"オソ"),COUNTIF(INDIRECT("AB$55:AB"&amp;(ROW()-7)),"イブ")) )</f>
        <v>0</v>
      </c>
      <c r="AC15" s="12">
        <f>IF((ROW()-7)&lt;55,0,SUM(COUNTIF(INDIRECT("AC$55:AC"&amp;(ROW()-7)),"○"),COUNTIF(INDIRECT("AC$55:AC"&amp;(ROW()-7)),"〇"),COUNTIF(INDIRECT("AC$55:AC"&amp;(ROW()-7)),"出"),COUNTIF(INDIRECT("AC$55:AC"&amp;(ROW()-7)),"早"),COUNTIF(INDIRECT("AC$55:AC"&amp;(ROW()-7)),"遅"),COUNTIF(INDIRECT("AC$55:AC"&amp;(ROW()-7)),"E"),COUNTIF(INDIRECT("AC$55:AC"&amp;(ROW()-7)),"8時"),COUNTIF(INDIRECT("AC$55:AC"&amp;(ROW()-7)),"ハヤ"),COUNTIF(INDIRECT("AC$55:AC"&amp;(ROW()-7)),"オソ"),COUNTIF(INDIRECT("AC$55:AC"&amp;(ROW()-7)),"イブ")) )</f>
        <v>0</v>
      </c>
      <c r="AD15" s="12">
        <f>SUM(B15:AC15)</f>
        <v>0</v>
      </c>
      <c r="AE15" s="12" t="inlineStr">
        <is>
          <t>-</t>
        </is>
      </c>
      <c r="AF15" s="12" t="inlineStr">
        <is>
          <t>-</t>
        </is>
      </c>
      <c r="AG15" s="12" t="inlineStr">
        <is>
          <t>-</t>
        </is>
      </c>
      <c r="AH15" s="12" t="inlineStr">
        <is>
          <t>-</t>
        </is>
      </c>
      <c r="AI15" s="12" t="inlineStr">
        <is>
          <t>-</t>
        </is>
      </c>
      <c r="AJ15" s="12" t="inlineStr">
        <is>
          <t>-</t>
        </is>
      </c>
      <c r="AK15" s="12" t="inlineStr">
        <is>
          <t>-</t>
        </is>
      </c>
    </row>
    <row r="16" ht="20" customHeight="1">
      <c r="A16" s="13" t="inlineStr">
        <is>
          <t>早番</t>
        </is>
      </c>
      <c r="B16" s="13">
        <f>COUNTIF(INDIRECT("B$4:B"&amp;(ROW()-8)),"早")+COUNTIF(INDIRECT("B$4:B"&amp;(ROW()-8)),"ハヤ")</f>
        <v>0</v>
      </c>
      <c r="C16" s="13">
        <f>COUNTIF(INDIRECT("C$4:C"&amp;(ROW()-8)),"早")+COUNTIF(INDIRECT("C$4:C"&amp;(ROW()-8)),"ハヤ")</f>
        <v>0</v>
      </c>
      <c r="D16" s="13">
        <f>COUNTIF(INDIRECT("D$4:D"&amp;(ROW()-8)),"早")+COUNTIF(INDIRECT("D$4:D"&amp;(ROW()-8)),"ハヤ")</f>
        <v>0</v>
      </c>
      <c r="E16" s="13">
        <f>COUNTIF(INDIRECT("E$4:E"&amp;(ROW()-8)),"早")+COUNTIF(INDIRECT("E$4:E"&amp;(ROW()-8)),"ハヤ")</f>
        <v>0</v>
      </c>
      <c r="F16" s="13">
        <f>COUNTIF(INDIRECT("F$4:F"&amp;(ROW()-8)),"早")+COUNTIF(INDIRECT("F$4:F"&amp;(ROW()-8)),"ハヤ")</f>
        <v>0</v>
      </c>
      <c r="G16" s="13">
        <f>COUNTIF(INDIRECT("G$4:G"&amp;(ROW()-8)),"早")+COUNTIF(INDIRECT("G$4:G"&amp;(ROW()-8)),"ハヤ")</f>
        <v>0</v>
      </c>
      <c r="H16" s="13">
        <f>COUNTIF(INDIRECT("H$4:H"&amp;(ROW()-8)),"早")+COUNTIF(INDIRECT("H$4:H"&amp;(ROW()-8)),"ハヤ")</f>
        <v>0</v>
      </c>
      <c r="I16" s="13">
        <f>COUNTIF(INDIRECT("I$4:I"&amp;(ROW()-8)),"早")+COUNTIF(INDIRECT("I$4:I"&amp;(ROW()-8)),"ハヤ")</f>
        <v>0</v>
      </c>
      <c r="J16" s="13">
        <f>COUNTIF(INDIRECT("J$4:J"&amp;(ROW()-8)),"早")+COUNTIF(INDIRECT("J$4:J"&amp;(ROW()-8)),"ハヤ")</f>
        <v>0</v>
      </c>
      <c r="K16" s="13">
        <f>COUNTIF(INDIRECT("K$4:K"&amp;(ROW()-8)),"早")+COUNTIF(INDIRECT("K$4:K"&amp;(ROW()-8)),"ハヤ")</f>
        <v>0</v>
      </c>
      <c r="L16" s="13">
        <f>COUNTIF(INDIRECT("L$4:L"&amp;(ROW()-8)),"早")+COUNTIF(INDIRECT("L$4:L"&amp;(ROW()-8)),"ハヤ")</f>
        <v>0</v>
      </c>
      <c r="M16" s="13">
        <f>COUNTIF(INDIRECT("M$4:M"&amp;(ROW()-8)),"早")+COUNTIF(INDIRECT("M$4:M"&amp;(ROW()-8)),"ハヤ")</f>
        <v>0</v>
      </c>
      <c r="N16" s="13">
        <f>COUNTIF(INDIRECT("N$4:N"&amp;(ROW()-8)),"早")+COUNTIF(INDIRECT("N$4:N"&amp;(ROW()-8)),"ハヤ")</f>
        <v>0</v>
      </c>
      <c r="O16" s="13">
        <f>COUNTIF(INDIRECT("O$4:O"&amp;(ROW()-8)),"早")+COUNTIF(INDIRECT("O$4:O"&amp;(ROW()-8)),"ハヤ")</f>
        <v>0</v>
      </c>
      <c r="P16" s="13">
        <f>COUNTIF(INDIRECT("P$4:P"&amp;(ROW()-8)),"早")+COUNTIF(INDIRECT("P$4:P"&amp;(ROW()-8)),"ハヤ")</f>
        <v>0</v>
      </c>
      <c r="Q16" s="13">
        <f>COUNTIF(INDIRECT("Q$4:Q"&amp;(ROW()-8)),"早")+COUNTIF(INDIRECT("Q$4:Q"&amp;(ROW()-8)),"ハヤ")</f>
        <v>0</v>
      </c>
      <c r="R16" s="13">
        <f>COUNTIF(INDIRECT("R$4:R"&amp;(ROW()-8)),"早")+COUNTIF(INDIRECT("R$4:R"&amp;(ROW()-8)),"ハヤ")</f>
        <v>0</v>
      </c>
      <c r="S16" s="13">
        <f>COUNTIF(INDIRECT("S$4:S"&amp;(ROW()-8)),"早")+COUNTIF(INDIRECT("S$4:S"&amp;(ROW()-8)),"ハヤ")</f>
        <v>0</v>
      </c>
      <c r="T16" s="13">
        <f>COUNTIF(INDIRECT("T$4:T"&amp;(ROW()-8)),"早")+COUNTIF(INDIRECT("T$4:T"&amp;(ROW()-8)),"ハヤ")</f>
        <v>0</v>
      </c>
      <c r="U16" s="13">
        <f>COUNTIF(INDIRECT("U$4:U"&amp;(ROW()-8)),"早")+COUNTIF(INDIRECT("U$4:U"&amp;(ROW()-8)),"ハヤ")</f>
        <v>0</v>
      </c>
      <c r="V16" s="13">
        <f>COUNTIF(INDIRECT("V$4:V"&amp;(ROW()-8)),"早")+COUNTIF(INDIRECT("V$4:V"&amp;(ROW()-8)),"ハヤ")</f>
        <v>0</v>
      </c>
      <c r="W16" s="13">
        <f>COUNTIF(INDIRECT("W$4:W"&amp;(ROW()-8)),"早")+COUNTIF(INDIRECT("W$4:W"&amp;(ROW()-8)),"ハヤ")</f>
        <v>0</v>
      </c>
      <c r="X16" s="13">
        <f>COUNTIF(INDIRECT("X$4:X"&amp;(ROW()-8)),"早")+COUNTIF(INDIRECT("X$4:X"&amp;(ROW()-8)),"ハヤ")</f>
        <v>0</v>
      </c>
      <c r="Y16" s="13">
        <f>COUNTIF(INDIRECT("Y$4:Y"&amp;(ROW()-8)),"早")+COUNTIF(INDIRECT("Y$4:Y"&amp;(ROW()-8)),"ハヤ")</f>
        <v>0</v>
      </c>
      <c r="Z16" s="13">
        <f>COUNTIF(INDIRECT("Z$4:Z"&amp;(ROW()-8)),"早")+COUNTIF(INDIRECT("Z$4:Z"&amp;(ROW()-8)),"ハヤ")</f>
        <v>0</v>
      </c>
      <c r="AA16" s="13">
        <f>COUNTIF(INDIRECT("AA$4:AA"&amp;(ROW()-8)),"早")+COUNTIF(INDIRECT("AA$4:AA"&amp;(ROW()-8)),"ハヤ")</f>
        <v>0</v>
      </c>
      <c r="AB16" s="13">
        <f>COUNTIF(INDIRECT("AB$4:AB"&amp;(ROW()-8)),"早")+COUNTIF(INDIRECT("AB$4:AB"&amp;(ROW()-8)),"ハヤ")</f>
        <v>0</v>
      </c>
      <c r="AC16" s="13">
        <f>COUNTIF(INDIRECT("AC$4:AC"&amp;(ROW()-8)),"早")+COUNTIF(INDIRECT("AC$4:AC"&amp;(ROW()-8)),"ハヤ")</f>
        <v>0</v>
      </c>
      <c r="AD16" s="13">
        <f>SUM(B16:AC16)</f>
        <v>0</v>
      </c>
      <c r="AE16" s="13" t="inlineStr">
        <is>
          <t>-</t>
        </is>
      </c>
      <c r="AF16" s="13" t="inlineStr">
        <is>
          <t>-</t>
        </is>
      </c>
      <c r="AG16" s="13" t="inlineStr">
        <is>
          <t>-</t>
        </is>
      </c>
      <c r="AH16" s="13" t="inlineStr">
        <is>
          <t>-</t>
        </is>
      </c>
      <c r="AI16" s="13" t="inlineStr">
        <is>
          <t>-</t>
        </is>
      </c>
      <c r="AJ16" s="13" t="inlineStr">
        <is>
          <t>-</t>
        </is>
      </c>
      <c r="AK16" s="13" t="inlineStr">
        <is>
          <t>-</t>
        </is>
      </c>
    </row>
    <row r="17" ht="20" customHeight="1">
      <c r="A17" s="13" t="inlineStr">
        <is>
          <t>遅番</t>
        </is>
      </c>
      <c r="B17" s="13">
        <f>COUNTIF(INDIRECT("B$4:B"&amp;(ROW()-9)),"遅")+COUNTIF(INDIRECT("B$4:B"&amp;(ROW()-9)),"オソ")</f>
        <v>0</v>
      </c>
      <c r="C17" s="13">
        <f>COUNTIF(INDIRECT("C$4:C"&amp;(ROW()-9)),"遅")+COUNTIF(INDIRECT("C$4:C"&amp;(ROW()-9)),"オソ")</f>
        <v>0</v>
      </c>
      <c r="D17" s="13">
        <f>COUNTIF(INDIRECT("D$4:D"&amp;(ROW()-9)),"遅")+COUNTIF(INDIRECT("D$4:D"&amp;(ROW()-9)),"オソ")</f>
        <v>0</v>
      </c>
      <c r="E17" s="13">
        <f>COUNTIF(INDIRECT("E$4:E"&amp;(ROW()-9)),"遅")+COUNTIF(INDIRECT("E$4:E"&amp;(ROW()-9)),"オソ")</f>
        <v>0</v>
      </c>
      <c r="F17" s="13">
        <f>COUNTIF(INDIRECT("F$4:F"&amp;(ROW()-9)),"遅")+COUNTIF(INDIRECT("F$4:F"&amp;(ROW()-9)),"オソ")</f>
        <v>0</v>
      </c>
      <c r="G17" s="13">
        <f>COUNTIF(INDIRECT("G$4:G"&amp;(ROW()-9)),"遅")+COUNTIF(INDIRECT("G$4:G"&amp;(ROW()-9)),"オソ")</f>
        <v>0</v>
      </c>
      <c r="H17" s="13">
        <f>COUNTIF(INDIRECT("H$4:H"&amp;(ROW()-9)),"遅")+COUNTIF(INDIRECT("H$4:H"&amp;(ROW()-9)),"オソ")</f>
        <v>0</v>
      </c>
      <c r="I17" s="13">
        <f>COUNTIF(INDIRECT("I$4:I"&amp;(ROW()-9)),"遅")+COUNTIF(INDIRECT("I$4:I"&amp;(ROW()-9)),"オソ")</f>
        <v>0</v>
      </c>
      <c r="J17" s="13">
        <f>COUNTIF(INDIRECT("J$4:J"&amp;(ROW()-9)),"遅")+COUNTIF(INDIRECT("J$4:J"&amp;(ROW()-9)),"オソ")</f>
        <v>0</v>
      </c>
      <c r="K17" s="13">
        <f>COUNTIF(INDIRECT("K$4:K"&amp;(ROW()-9)),"遅")+COUNTIF(INDIRECT("K$4:K"&amp;(ROW()-9)),"オソ")</f>
        <v>0</v>
      </c>
      <c r="L17" s="13">
        <f>COUNTIF(INDIRECT("L$4:L"&amp;(ROW()-9)),"遅")+COUNTIF(INDIRECT("L$4:L"&amp;(ROW()-9)),"オソ")</f>
        <v>0</v>
      </c>
      <c r="M17" s="13">
        <f>COUNTIF(INDIRECT("M$4:M"&amp;(ROW()-9)),"遅")+COUNTIF(INDIRECT("M$4:M"&amp;(ROW()-9)),"オソ")</f>
        <v>0</v>
      </c>
      <c r="N17" s="13">
        <f>COUNTIF(INDIRECT("N$4:N"&amp;(ROW()-9)),"遅")+COUNTIF(INDIRECT("N$4:N"&amp;(ROW()-9)),"オソ")</f>
        <v>0</v>
      </c>
      <c r="O17" s="13">
        <f>COUNTIF(INDIRECT("O$4:O"&amp;(ROW()-9)),"遅")+COUNTIF(INDIRECT("O$4:O"&amp;(ROW()-9)),"オソ")</f>
        <v>0</v>
      </c>
      <c r="P17" s="13">
        <f>COUNTIF(INDIRECT("P$4:P"&amp;(ROW()-9)),"遅")+COUNTIF(INDIRECT("P$4:P"&amp;(ROW()-9)),"オソ")</f>
        <v>0</v>
      </c>
      <c r="Q17" s="13">
        <f>COUNTIF(INDIRECT("Q$4:Q"&amp;(ROW()-9)),"遅")+COUNTIF(INDIRECT("Q$4:Q"&amp;(ROW()-9)),"オソ")</f>
        <v>0</v>
      </c>
      <c r="R17" s="13">
        <f>COUNTIF(INDIRECT("R$4:R"&amp;(ROW()-9)),"遅")+COUNTIF(INDIRECT("R$4:R"&amp;(ROW()-9)),"オソ")</f>
        <v>0</v>
      </c>
      <c r="S17" s="13">
        <f>COUNTIF(INDIRECT("S$4:S"&amp;(ROW()-9)),"遅")+COUNTIF(INDIRECT("S$4:S"&amp;(ROW()-9)),"オソ")</f>
        <v>0</v>
      </c>
      <c r="T17" s="13">
        <f>COUNTIF(INDIRECT("T$4:T"&amp;(ROW()-9)),"遅")+COUNTIF(INDIRECT("T$4:T"&amp;(ROW()-9)),"オソ")</f>
        <v>0</v>
      </c>
      <c r="U17" s="13">
        <f>COUNTIF(INDIRECT("U$4:U"&amp;(ROW()-9)),"遅")+COUNTIF(INDIRECT("U$4:U"&amp;(ROW()-9)),"オソ")</f>
        <v>0</v>
      </c>
      <c r="V17" s="13">
        <f>COUNTIF(INDIRECT("V$4:V"&amp;(ROW()-9)),"遅")+COUNTIF(INDIRECT("V$4:V"&amp;(ROW()-9)),"オソ")</f>
        <v>0</v>
      </c>
      <c r="W17" s="13">
        <f>COUNTIF(INDIRECT("W$4:W"&amp;(ROW()-9)),"遅")+COUNTIF(INDIRECT("W$4:W"&amp;(ROW()-9)),"オソ")</f>
        <v>0</v>
      </c>
      <c r="X17" s="13">
        <f>COUNTIF(INDIRECT("X$4:X"&amp;(ROW()-9)),"遅")+COUNTIF(INDIRECT("X$4:X"&amp;(ROW()-9)),"オソ")</f>
        <v>0</v>
      </c>
      <c r="Y17" s="13">
        <f>COUNTIF(INDIRECT("Y$4:Y"&amp;(ROW()-9)),"遅")+COUNTIF(INDIRECT("Y$4:Y"&amp;(ROW()-9)),"オソ")</f>
        <v>0</v>
      </c>
      <c r="Z17" s="13">
        <f>COUNTIF(INDIRECT("Z$4:Z"&amp;(ROW()-9)),"遅")+COUNTIF(INDIRECT("Z$4:Z"&amp;(ROW()-9)),"オソ")</f>
        <v>0</v>
      </c>
      <c r="AA17" s="13">
        <f>COUNTIF(INDIRECT("AA$4:AA"&amp;(ROW()-9)),"遅")+COUNTIF(INDIRECT("AA$4:AA"&amp;(ROW()-9)),"オソ")</f>
        <v>0</v>
      </c>
      <c r="AB17" s="13">
        <f>COUNTIF(INDIRECT("AB$4:AB"&amp;(ROW()-9)),"遅")+COUNTIF(INDIRECT("AB$4:AB"&amp;(ROW()-9)),"オソ")</f>
        <v>0</v>
      </c>
      <c r="AC17" s="13">
        <f>COUNTIF(INDIRECT("AC$4:AC"&amp;(ROW()-9)),"遅")+COUNTIF(INDIRECT("AC$4:AC"&amp;(ROW()-9)),"オソ")</f>
        <v>0</v>
      </c>
      <c r="AD17" s="13">
        <f>SUM(B17:AC17)</f>
        <v>0</v>
      </c>
      <c r="AE17" s="13" t="inlineStr">
        <is>
          <t>-</t>
        </is>
      </c>
      <c r="AF17" s="13" t="inlineStr">
        <is>
          <t>-</t>
        </is>
      </c>
      <c r="AG17" s="13" t="inlineStr">
        <is>
          <t>-</t>
        </is>
      </c>
      <c r="AH17" s="13" t="inlineStr">
        <is>
          <t>-</t>
        </is>
      </c>
      <c r="AI17" s="13" t="inlineStr">
        <is>
          <t>-</t>
        </is>
      </c>
      <c r="AJ17" s="13" t="inlineStr">
        <is>
          <t>-</t>
        </is>
      </c>
      <c r="AK17" s="13" t="inlineStr">
        <is>
          <t>-</t>
        </is>
      </c>
    </row>
    <row r="18" ht="20" customHeight="1">
      <c r="A18" s="13" t="inlineStr">
        <is>
          <t>E</t>
        </is>
      </c>
      <c r="B18" s="13">
        <f>COUNTIF(INDIRECT("B$4:B"&amp;(ROW()-10)),"E")+COUNTIF(INDIRECT("B$4:B"&amp;(ROW()-10)),"イブ")</f>
        <v>0</v>
      </c>
      <c r="C18" s="13">
        <f>COUNTIF(INDIRECT("C$4:C"&amp;(ROW()-10)),"E")+COUNTIF(INDIRECT("C$4:C"&amp;(ROW()-10)),"イブ")</f>
        <v>0</v>
      </c>
      <c r="D18" s="13">
        <f>COUNTIF(INDIRECT("D$4:D"&amp;(ROW()-10)),"E")+COUNTIF(INDIRECT("D$4:D"&amp;(ROW()-10)),"イブ")</f>
        <v>0</v>
      </c>
      <c r="E18" s="13">
        <f>COUNTIF(INDIRECT("E$4:E"&amp;(ROW()-10)),"E")+COUNTIF(INDIRECT("E$4:E"&amp;(ROW()-10)),"イブ")</f>
        <v>0</v>
      </c>
      <c r="F18" s="13">
        <f>COUNTIF(INDIRECT("F$4:F"&amp;(ROW()-10)),"E")+COUNTIF(INDIRECT("F$4:F"&amp;(ROW()-10)),"イブ")</f>
        <v>0</v>
      </c>
      <c r="G18" s="13">
        <f>COUNTIF(INDIRECT("G$4:G"&amp;(ROW()-10)),"E")+COUNTIF(INDIRECT("G$4:G"&amp;(ROW()-10)),"イブ")</f>
        <v>0</v>
      </c>
      <c r="H18" s="13">
        <f>COUNTIF(INDIRECT("H$4:H"&amp;(ROW()-10)),"E")+COUNTIF(INDIRECT("H$4:H"&amp;(ROW()-10)),"イブ")</f>
        <v>0</v>
      </c>
      <c r="I18" s="13">
        <f>COUNTIF(INDIRECT("I$4:I"&amp;(ROW()-10)),"E")+COUNTIF(INDIRECT("I$4:I"&amp;(ROW()-10)),"イブ")</f>
        <v>0</v>
      </c>
      <c r="J18" s="13">
        <f>COUNTIF(INDIRECT("J$4:J"&amp;(ROW()-10)),"E")+COUNTIF(INDIRECT("J$4:J"&amp;(ROW()-10)),"イブ")</f>
        <v>0</v>
      </c>
      <c r="K18" s="13">
        <f>COUNTIF(INDIRECT("K$4:K"&amp;(ROW()-10)),"E")+COUNTIF(INDIRECT("K$4:K"&amp;(ROW()-10)),"イブ")</f>
        <v>0</v>
      </c>
      <c r="L18" s="13">
        <f>COUNTIF(INDIRECT("L$4:L"&amp;(ROW()-10)),"E")+COUNTIF(INDIRECT("L$4:L"&amp;(ROW()-10)),"イブ")</f>
        <v>0</v>
      </c>
      <c r="M18" s="13">
        <f>COUNTIF(INDIRECT("M$4:M"&amp;(ROW()-10)),"E")+COUNTIF(INDIRECT("M$4:M"&amp;(ROW()-10)),"イブ")</f>
        <v>0</v>
      </c>
      <c r="N18" s="13">
        <f>COUNTIF(INDIRECT("N$4:N"&amp;(ROW()-10)),"E")+COUNTIF(INDIRECT("N$4:N"&amp;(ROW()-10)),"イブ")</f>
        <v>0</v>
      </c>
      <c r="O18" s="13">
        <f>COUNTIF(INDIRECT("O$4:O"&amp;(ROW()-10)),"E")+COUNTIF(INDIRECT("O$4:O"&amp;(ROW()-10)),"イブ")</f>
        <v>0</v>
      </c>
      <c r="P18" s="13">
        <f>COUNTIF(INDIRECT("P$4:P"&amp;(ROW()-10)),"E")+COUNTIF(INDIRECT("P$4:P"&amp;(ROW()-10)),"イブ")</f>
        <v>0</v>
      </c>
      <c r="Q18" s="13">
        <f>COUNTIF(INDIRECT("Q$4:Q"&amp;(ROW()-10)),"E")+COUNTIF(INDIRECT("Q$4:Q"&amp;(ROW()-10)),"イブ")</f>
        <v>0</v>
      </c>
      <c r="R18" s="13">
        <f>COUNTIF(INDIRECT("R$4:R"&amp;(ROW()-10)),"E")+COUNTIF(INDIRECT("R$4:R"&amp;(ROW()-10)),"イブ")</f>
        <v>0</v>
      </c>
      <c r="S18" s="13">
        <f>COUNTIF(INDIRECT("S$4:S"&amp;(ROW()-10)),"E")+COUNTIF(INDIRECT("S$4:S"&amp;(ROW()-10)),"イブ")</f>
        <v>0</v>
      </c>
      <c r="T18" s="13">
        <f>COUNTIF(INDIRECT("T$4:T"&amp;(ROW()-10)),"E")+COUNTIF(INDIRECT("T$4:T"&amp;(ROW()-10)),"イブ")</f>
        <v>0</v>
      </c>
      <c r="U18" s="13">
        <f>COUNTIF(INDIRECT("U$4:U"&amp;(ROW()-10)),"E")+COUNTIF(INDIRECT("U$4:U"&amp;(ROW()-10)),"イブ")</f>
        <v>0</v>
      </c>
      <c r="V18" s="13">
        <f>COUNTIF(INDIRECT("V$4:V"&amp;(ROW()-10)),"E")+COUNTIF(INDIRECT("V$4:V"&amp;(ROW()-10)),"イブ")</f>
        <v>0</v>
      </c>
      <c r="W18" s="13">
        <f>COUNTIF(INDIRECT("W$4:W"&amp;(ROW()-10)),"E")+COUNTIF(INDIRECT("W$4:W"&amp;(ROW()-10)),"イブ")</f>
        <v>0</v>
      </c>
      <c r="X18" s="13">
        <f>COUNTIF(INDIRECT("X$4:X"&amp;(ROW()-10)),"E")+COUNTIF(INDIRECT("X$4:X"&amp;(ROW()-10)),"イブ")</f>
        <v>0</v>
      </c>
      <c r="Y18" s="13">
        <f>COUNTIF(INDIRECT("Y$4:Y"&amp;(ROW()-10)),"E")+COUNTIF(INDIRECT("Y$4:Y"&amp;(ROW()-10)),"イブ")</f>
        <v>0</v>
      </c>
      <c r="Z18" s="13">
        <f>COUNTIF(INDIRECT("Z$4:Z"&amp;(ROW()-10)),"E")+COUNTIF(INDIRECT("Z$4:Z"&amp;(ROW()-10)),"イブ")</f>
        <v>0</v>
      </c>
      <c r="AA18" s="13">
        <f>COUNTIF(INDIRECT("AA$4:AA"&amp;(ROW()-10)),"E")+COUNTIF(INDIRECT("AA$4:AA"&amp;(ROW()-10)),"イブ")</f>
        <v>0</v>
      </c>
      <c r="AB18" s="13">
        <f>COUNTIF(INDIRECT("AB$4:AB"&amp;(ROW()-10)),"E")+COUNTIF(INDIRECT("AB$4:AB"&amp;(ROW()-10)),"イブ")</f>
        <v>0</v>
      </c>
      <c r="AC18" s="13">
        <f>COUNTIF(INDIRECT("AC$4:AC"&amp;(ROW()-10)),"E")+COUNTIF(INDIRECT("AC$4:AC"&amp;(ROW()-10)),"イブ")</f>
        <v>0</v>
      </c>
      <c r="AD18" s="13">
        <f>SUM(B18:AC18)</f>
        <v>0</v>
      </c>
      <c r="AE18" s="13" t="inlineStr">
        <is>
          <t>-</t>
        </is>
      </c>
      <c r="AF18" s="13" t="inlineStr">
        <is>
          <t>-</t>
        </is>
      </c>
      <c r="AG18" s="13" t="inlineStr">
        <is>
          <t>-</t>
        </is>
      </c>
      <c r="AH18" s="13" t="inlineStr">
        <is>
          <t>-</t>
        </is>
      </c>
      <c r="AI18" s="13" t="inlineStr">
        <is>
          <t>-</t>
        </is>
      </c>
      <c r="AJ18" s="13" t="inlineStr">
        <is>
          <t>-</t>
        </is>
      </c>
      <c r="AK18" s="13" t="inlineStr">
        <is>
          <t>-</t>
        </is>
      </c>
    </row>
    <row r="19" ht="20" customHeight="1">
      <c r="A19" s="13" t="inlineStr">
        <is>
          <t>8時</t>
        </is>
      </c>
      <c r="B19" s="13">
        <f>COUNTIF(INDIRECT("B$4:B"&amp;(ROW()-11)),"8時")</f>
        <v>0</v>
      </c>
      <c r="C19" s="13">
        <f>COUNTIF(INDIRECT("C$4:C"&amp;(ROW()-11)),"8時")</f>
        <v>0</v>
      </c>
      <c r="D19" s="13">
        <f>COUNTIF(INDIRECT("D$4:D"&amp;(ROW()-11)),"8時")</f>
        <v>0</v>
      </c>
      <c r="E19" s="13">
        <f>COUNTIF(INDIRECT("E$4:E"&amp;(ROW()-11)),"8時")</f>
        <v>0</v>
      </c>
      <c r="F19" s="13">
        <f>COUNTIF(INDIRECT("F$4:F"&amp;(ROW()-11)),"8時")</f>
        <v>0</v>
      </c>
      <c r="G19" s="13">
        <f>COUNTIF(INDIRECT("G$4:G"&amp;(ROW()-11)),"8時")</f>
        <v>0</v>
      </c>
      <c r="H19" s="13">
        <f>COUNTIF(INDIRECT("H$4:H"&amp;(ROW()-11)),"8時")</f>
        <v>0</v>
      </c>
      <c r="I19" s="13">
        <f>COUNTIF(INDIRECT("I$4:I"&amp;(ROW()-11)),"8時")</f>
        <v>0</v>
      </c>
      <c r="J19" s="13">
        <f>COUNTIF(INDIRECT("J$4:J"&amp;(ROW()-11)),"8時")</f>
        <v>0</v>
      </c>
      <c r="K19" s="13">
        <f>COUNTIF(INDIRECT("K$4:K"&amp;(ROW()-11)),"8時")</f>
        <v>0</v>
      </c>
      <c r="L19" s="13">
        <f>COUNTIF(INDIRECT("L$4:L"&amp;(ROW()-11)),"8時")</f>
        <v>0</v>
      </c>
      <c r="M19" s="13">
        <f>COUNTIF(INDIRECT("M$4:M"&amp;(ROW()-11)),"8時")</f>
        <v>0</v>
      </c>
      <c r="N19" s="13">
        <f>COUNTIF(INDIRECT("N$4:N"&amp;(ROW()-11)),"8時")</f>
        <v>0</v>
      </c>
      <c r="O19" s="13">
        <f>COUNTIF(INDIRECT("O$4:O"&amp;(ROW()-11)),"8時")</f>
        <v>0</v>
      </c>
      <c r="P19" s="13">
        <f>COUNTIF(INDIRECT("P$4:P"&amp;(ROW()-11)),"8時")</f>
        <v>0</v>
      </c>
      <c r="Q19" s="13">
        <f>COUNTIF(INDIRECT("Q$4:Q"&amp;(ROW()-11)),"8時")</f>
        <v>0</v>
      </c>
      <c r="R19" s="13">
        <f>COUNTIF(INDIRECT("R$4:R"&amp;(ROW()-11)),"8時")</f>
        <v>0</v>
      </c>
      <c r="S19" s="13">
        <f>COUNTIF(INDIRECT("S$4:S"&amp;(ROW()-11)),"8時")</f>
        <v>0</v>
      </c>
      <c r="T19" s="13">
        <f>COUNTIF(INDIRECT("T$4:T"&amp;(ROW()-11)),"8時")</f>
        <v>0</v>
      </c>
      <c r="U19" s="13">
        <f>COUNTIF(INDIRECT("U$4:U"&amp;(ROW()-11)),"8時")</f>
        <v>0</v>
      </c>
      <c r="V19" s="13">
        <f>COUNTIF(INDIRECT("V$4:V"&amp;(ROW()-11)),"8時")</f>
        <v>0</v>
      </c>
      <c r="W19" s="13">
        <f>COUNTIF(INDIRECT("W$4:W"&amp;(ROW()-11)),"8時")</f>
        <v>0</v>
      </c>
      <c r="X19" s="13">
        <f>COUNTIF(INDIRECT("X$4:X"&amp;(ROW()-11)),"8時")</f>
        <v>0</v>
      </c>
      <c r="Y19" s="13">
        <f>COUNTIF(INDIRECT("Y$4:Y"&amp;(ROW()-11)),"8時")</f>
        <v>0</v>
      </c>
      <c r="Z19" s="13">
        <f>COUNTIF(INDIRECT("Z$4:Z"&amp;(ROW()-11)),"8時")</f>
        <v>0</v>
      </c>
      <c r="AA19" s="13">
        <f>COUNTIF(INDIRECT("AA$4:AA"&amp;(ROW()-11)),"8時")</f>
        <v>0</v>
      </c>
      <c r="AB19" s="13">
        <f>COUNTIF(INDIRECT("AB$4:AB"&amp;(ROW()-11)),"8時")</f>
        <v>0</v>
      </c>
      <c r="AC19" s="13">
        <f>COUNTIF(INDIRECT("AC$4:AC"&amp;(ROW()-11)),"8時")</f>
        <v>0</v>
      </c>
      <c r="AD19" s="13">
        <f>SUM(B19:AC19)</f>
        <v>0</v>
      </c>
      <c r="AE19" s="13" t="inlineStr">
        <is>
          <t>-</t>
        </is>
      </c>
      <c r="AF19" s="13" t="inlineStr">
        <is>
          <t>-</t>
        </is>
      </c>
      <c r="AG19" s="13" t="inlineStr">
        <is>
          <t>-</t>
        </is>
      </c>
      <c r="AH19" s="13" t="inlineStr">
        <is>
          <t>-</t>
        </is>
      </c>
      <c r="AI19" s="13" t="inlineStr">
        <is>
          <t>-</t>
        </is>
      </c>
      <c r="AJ19" s="13" t="inlineStr">
        <is>
          <t>-</t>
        </is>
      </c>
      <c r="AK19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