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G53"/>
  <sheetViews>
    <sheetView tabSelected="1" workbookViewId="0"/>
  </sheetViews>
  <sheetFormatPr defaultRowHeight="19"/>
  <cols>
    <col min="1" max="1" width="5.5" customWidth="1"/>
    <col min="2" max="2" width="13" customWidth="1"/>
    <col min="3" max="30" width="6" customWidth="1"/>
    <col min="31" max="32" width="10" customWidth="1"/>
    <col min="33" max="33" width="18" customWidth="1"/>
  </cols>
  <sheetData>
    <row r="1" ht="25">
      <c r="A1" s="1" t="inlineStr">
        <is>
          <t>4月29日～5月26日 スタッフ希望勤務入力シート（希望勤務はプルダウンから選択してください）</t>
        </is>
      </c>
    </row>
    <row r="2" ht="20">
      <c r="A2" s="2" t="inlineStr">
        <is>
          <t>No</t>
        </is>
      </c>
      <c r="B2" s="2" t="inlineStr">
        <is>
          <t>氏名</t>
        </is>
      </c>
      <c r="C2" s="2" t="inlineStr">
        <is>
          <t>4/29</t>
        </is>
      </c>
      <c r="D2" s="2" t="inlineStr">
        <is>
          <t>4/30</t>
        </is>
      </c>
      <c r="E2" s="2" t="inlineStr">
        <is>
          <t>5/1</t>
        </is>
      </c>
      <c r="F2" s="3" t="inlineStr">
        <is>
          <t>5/2</t>
        </is>
      </c>
      <c r="G2" s="4" t="inlineStr">
        <is>
          <t>5/3</t>
        </is>
      </c>
      <c r="H2" s="2" t="inlineStr">
        <is>
          <t>5/4</t>
        </is>
      </c>
      <c r="I2" s="2" t="inlineStr">
        <is>
          <t>5/5</t>
        </is>
      </c>
      <c r="J2" s="2" t="inlineStr">
        <is>
          <t>5/6</t>
        </is>
      </c>
      <c r="K2" s="2" t="inlineStr">
        <is>
          <t>5/7</t>
        </is>
      </c>
      <c r="L2" s="2" t="inlineStr">
        <is>
          <t>5/8</t>
        </is>
      </c>
      <c r="M2" s="3" t="inlineStr">
        <is>
          <t>5/9</t>
        </is>
      </c>
      <c r="N2" s="4" t="inlineStr">
        <is>
          <t>5/10</t>
        </is>
      </c>
      <c r="O2" s="2" t="inlineStr">
        <is>
          <t>5/11</t>
        </is>
      </c>
      <c r="P2" s="2" t="inlineStr">
        <is>
          <t>5/12</t>
        </is>
      </c>
      <c r="Q2" s="2" t="inlineStr">
        <is>
          <t>5/13</t>
        </is>
      </c>
      <c r="R2" s="2" t="inlineStr">
        <is>
          <t>5/14</t>
        </is>
      </c>
      <c r="S2" s="2" t="inlineStr">
        <is>
          <t>5/15</t>
        </is>
      </c>
      <c r="T2" s="3" t="inlineStr">
        <is>
          <t>5/16</t>
        </is>
      </c>
      <c r="U2" s="4" t="inlineStr">
        <is>
          <t>5/17</t>
        </is>
      </c>
      <c r="V2" s="2" t="inlineStr">
        <is>
          <t>5/18</t>
        </is>
      </c>
      <c r="W2" s="2" t="inlineStr">
        <is>
          <t>5/19</t>
        </is>
      </c>
      <c r="X2" s="2" t="inlineStr">
        <is>
          <t>5/20</t>
        </is>
      </c>
      <c r="Y2" s="2" t="inlineStr">
        <is>
          <t>5/21</t>
        </is>
      </c>
      <c r="Z2" s="2" t="inlineStr">
        <is>
          <t>5/22</t>
        </is>
      </c>
      <c r="AA2" s="3" t="inlineStr">
        <is>
          <t>5/23</t>
        </is>
      </c>
      <c r="AB2" s="4" t="inlineStr">
        <is>
          <t>5/24</t>
        </is>
      </c>
      <c r="AC2" s="2" t="inlineStr">
        <is>
          <t>5/25</t>
        </is>
      </c>
      <c r="AD2" s="2" t="inlineStr">
        <is>
          <t>5/26</t>
        </is>
      </c>
      <c r="AE2" s="2" t="inlineStr">
        <is>
          <t>希望休数</t>
        </is>
      </c>
      <c r="AF2" s="2" t="inlineStr">
        <is>
          <t>希望有休数</t>
        </is>
      </c>
      <c r="AG2" s="2" t="inlineStr">
        <is>
          <t>備考</t>
        </is>
      </c>
    </row>
    <row r="3" ht="18">
      <c r="A3" s="2" t="inlineStr">
        <is>
          <t/>
        </is>
      </c>
      <c r="B3" s="2" t="inlineStr">
        <is>
          <t/>
        </is>
      </c>
      <c r="C3" s="2" t="inlineStr">
        <is>
          <t>水</t>
        </is>
      </c>
      <c r="D3" s="2" t="inlineStr">
        <is>
          <t>木</t>
        </is>
      </c>
      <c r="E3" s="2" t="inlineStr">
        <is>
          <t>金</t>
        </is>
      </c>
      <c r="F3" s="3" t="inlineStr">
        <is>
          <t>土</t>
        </is>
      </c>
      <c r="G3" s="4" t="inlineStr">
        <is>
          <t>日</t>
        </is>
      </c>
      <c r="H3" s="2" t="inlineStr">
        <is>
          <t>月</t>
        </is>
      </c>
      <c r="I3" s="2" t="inlineStr">
        <is>
          <t>火</t>
        </is>
      </c>
      <c r="J3" s="2" t="inlineStr">
        <is>
          <t>水</t>
        </is>
      </c>
      <c r="K3" s="2" t="inlineStr">
        <is>
          <t>木</t>
        </is>
      </c>
      <c r="L3" s="2" t="inlineStr">
        <is>
          <t>金</t>
        </is>
      </c>
      <c r="M3" s="3" t="inlineStr">
        <is>
          <t>土</t>
        </is>
      </c>
      <c r="N3" s="4" t="inlineStr">
        <is>
          <t>日</t>
        </is>
      </c>
      <c r="O3" s="2" t="inlineStr">
        <is>
          <t>月</t>
        </is>
      </c>
      <c r="P3" s="2" t="inlineStr">
        <is>
          <t>火</t>
        </is>
      </c>
      <c r="Q3" s="2" t="inlineStr">
        <is>
          <t>水</t>
        </is>
      </c>
      <c r="R3" s="2" t="inlineStr">
        <is>
          <t>木</t>
        </is>
      </c>
      <c r="S3" s="2" t="inlineStr">
        <is>
          <t>金</t>
        </is>
      </c>
      <c r="T3" s="3" t="inlineStr">
        <is>
          <t>土</t>
        </is>
      </c>
      <c r="U3" s="4" t="inlineStr">
        <is>
          <t>日</t>
        </is>
      </c>
      <c r="V3" s="2" t="inlineStr">
        <is>
          <t>月</t>
        </is>
      </c>
      <c r="W3" s="2" t="inlineStr">
        <is>
          <t>火</t>
        </is>
      </c>
      <c r="X3" s="2" t="inlineStr">
        <is>
          <t>水</t>
        </is>
      </c>
      <c r="Y3" s="2" t="inlineStr">
        <is>
          <t>木</t>
        </is>
      </c>
      <c r="Z3" s="2" t="inlineStr">
        <is>
          <t>金</t>
        </is>
      </c>
      <c r="AA3" s="3" t="inlineStr">
        <is>
          <t>土</t>
        </is>
      </c>
      <c r="AB3" s="4" t="inlineStr">
        <is>
          <t>日</t>
        </is>
      </c>
      <c r="AC3" s="2" t="inlineStr">
        <is>
          <t>月</t>
        </is>
      </c>
      <c r="AD3" s="2" t="inlineStr">
        <is>
          <t>火</t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</row>
    <row r="4" ht="20">
      <c r="A4" s="7">
        <v>1</v>
      </c>
      <c r="B4" s="6" t="inlineStr">
        <is>
          <t>スタッフ 01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>
        <f>COUNTIF(C4:AD4,"休")+0.5*(COUNTIF(C4:AD4,"○/休")+COUNTIF(C4:AD4,"休/○"))</f>
      </c>
      <c r="AF4" s="5">
        <f>COUNTIF(C4:AD4,"有")+0.5*(COUNTIF(C4:AD4,"○/有")+COUNTIF(C4:AD4,"有/○"))</f>
      </c>
      <c r="AG4" s="8"/>
    </row>
    <row r="5" ht="20">
      <c r="A5" s="7">
        <v>2</v>
      </c>
      <c r="B5" s="6" t="inlineStr">
        <is>
          <t>スタッフ 02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f>COUNTIF(C5:AD5,"休")+0.5*(COUNTIF(C5:AD5,"○/休")+COUNTIF(C5:AD5,"休/○"))</f>
      </c>
      <c r="AF5" s="5">
        <f>COUNTIF(C5:AD5,"有")+0.5*(COUNTIF(C5:AD5,"○/有")+COUNTIF(C5:AD5,"有/○"))</f>
      </c>
      <c r="AG5" s="8"/>
    </row>
    <row r="6" ht="20">
      <c r="A6" s="7">
        <v>3</v>
      </c>
      <c r="B6" s="6" t="inlineStr">
        <is>
          <t>スタッフ 03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f>COUNTIF(C6:AD6,"休")+0.5*(COUNTIF(C6:AD6,"○/休")+COUNTIF(C6:AD6,"休/○"))</f>
      </c>
      <c r="AF6" s="5">
        <f>COUNTIF(C6:AD6,"有")+0.5*(COUNTIF(C6:AD6,"○/有")+COUNTIF(C6:AD6,"有/○"))</f>
      </c>
      <c r="AG6" s="8"/>
    </row>
    <row r="7" ht="20">
      <c r="A7" s="7">
        <v>4</v>
      </c>
      <c r="B7" s="6" t="inlineStr">
        <is>
          <t>スタッフ 04</t>
        </is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f>COUNTIF(C7:AD7,"休")+0.5*(COUNTIF(C7:AD7,"○/休")+COUNTIF(C7:AD7,"休/○"))</f>
      </c>
      <c r="AF7" s="5">
        <f>COUNTIF(C7:AD7,"有")+0.5*(COUNTIF(C7:AD7,"○/有")+COUNTIF(C7:AD7,"有/○"))</f>
      </c>
      <c r="AG7" s="8"/>
    </row>
    <row r="8" ht="20">
      <c r="A8" s="7">
        <v>5</v>
      </c>
      <c r="B8" s="6" t="inlineStr">
        <is>
          <t>スタッフ 05</t>
        </is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f>COUNTIF(C8:AD8,"休")+0.5*(COUNTIF(C8:AD8,"○/休")+COUNTIF(C8:AD8,"休/○"))</f>
      </c>
      <c r="AF8" s="5">
        <f>COUNTIF(C8:AD8,"有")+0.5*(COUNTIF(C8:AD8,"○/有")+COUNTIF(C8:AD8,"有/○"))</f>
      </c>
      <c r="AG8" s="8"/>
    </row>
    <row r="9" ht="20">
      <c r="A9" s="7">
        <v>6</v>
      </c>
      <c r="B9" s="6" t="inlineStr">
        <is>
          <t>スタッフ 06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f>COUNTIF(C9:AD9,"休")+0.5*(COUNTIF(C9:AD9,"○/休")+COUNTIF(C9:AD9,"休/○"))</f>
      </c>
      <c r="AF9" s="5">
        <f>COUNTIF(C9:AD9,"有")+0.5*(COUNTIF(C9:AD9,"○/有")+COUNTIF(C9:AD9,"有/○"))</f>
      </c>
      <c r="AG9" s="8"/>
    </row>
    <row r="10" ht="20">
      <c r="A10" s="7">
        <v>7</v>
      </c>
      <c r="B10" s="6" t="inlineStr">
        <is>
          <t>スタッフ 07</t>
        </is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f>COUNTIF(C10:AD10,"休")+0.5*(COUNTIF(C10:AD10,"○/休")+COUNTIF(C10:AD10,"休/○"))</f>
      </c>
      <c r="AF10" s="5">
        <f>COUNTIF(C10:AD10,"有")+0.5*(COUNTIF(C10:AD10,"○/有")+COUNTIF(C10:AD10,"有/○"))</f>
      </c>
      <c r="AG10" s="8"/>
    </row>
    <row r="11" ht="20">
      <c r="A11" s="7">
        <v>8</v>
      </c>
      <c r="B11" s="6" t="inlineStr">
        <is>
          <t>スタッフ 08</t>
        </is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f>COUNTIF(C11:AD11,"休")+0.5*(COUNTIF(C11:AD11,"○/休")+COUNTIF(C11:AD11,"休/○"))</f>
      </c>
      <c r="AF11" s="5">
        <f>COUNTIF(C11:AD11,"有")+0.5*(COUNTIF(C11:AD11,"○/有")+COUNTIF(C11:AD11,"有/○"))</f>
      </c>
      <c r="AG11" s="8"/>
    </row>
    <row r="12" ht="20">
      <c r="A12" s="7">
        <v>9</v>
      </c>
      <c r="B12" s="6" t="inlineStr">
        <is>
          <t>スタッフ 09</t>
        </is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f>COUNTIF(C12:AD12,"休")+0.5*(COUNTIF(C12:AD12,"○/休")+COUNTIF(C12:AD12,"休/○"))</f>
      </c>
      <c r="AF12" s="5">
        <f>COUNTIF(C12:AD12,"有")+0.5*(COUNTIF(C12:AD12,"○/有")+COUNTIF(C12:AD12,"有/○"))</f>
      </c>
      <c r="AG12" s="8"/>
    </row>
    <row r="13" ht="20">
      <c r="A13" s="7">
        <v>10</v>
      </c>
      <c r="B13" s="6" t="inlineStr">
        <is>
          <t>スタッフ 10</t>
        </is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f>COUNTIF(C13:AD13,"休")+0.5*(COUNTIF(C13:AD13,"○/休")+COUNTIF(C13:AD13,"休/○"))</f>
      </c>
      <c r="AF13" s="5">
        <f>COUNTIF(C13:AD13,"有")+0.5*(COUNTIF(C13:AD13,"○/有")+COUNTIF(C13:AD13,"有/○"))</f>
      </c>
      <c r="AG13" s="8"/>
    </row>
    <row r="14" ht="20">
      <c r="A14" s="7">
        <v>11</v>
      </c>
      <c r="B14" s="6" t="inlineStr">
        <is>
          <t>スタッフ 11</t>
        </is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f>COUNTIF(C14:AD14,"休")+0.5*(COUNTIF(C14:AD14,"○/休")+COUNTIF(C14:AD14,"休/○"))</f>
      </c>
      <c r="AF14" s="5">
        <f>COUNTIF(C14:AD14,"有")+0.5*(COUNTIF(C14:AD14,"○/有")+COUNTIF(C14:AD14,"有/○"))</f>
      </c>
      <c r="AG14" s="8"/>
    </row>
    <row r="15" ht="20">
      <c r="A15" s="7">
        <v>12</v>
      </c>
      <c r="B15" s="6" t="inlineStr">
        <is>
          <t>スタッフ 12</t>
        </is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f>COUNTIF(C15:AD15,"休")+0.5*(COUNTIF(C15:AD15,"○/休")+COUNTIF(C15:AD15,"休/○"))</f>
      </c>
      <c r="AF15" s="5">
        <f>COUNTIF(C15:AD15,"有")+0.5*(COUNTIF(C15:AD15,"○/有")+COUNTIF(C15:AD15,"有/○"))</f>
      </c>
      <c r="AG15" s="8"/>
    </row>
    <row r="16" ht="20">
      <c r="A16" s="7">
        <v>13</v>
      </c>
      <c r="B16" s="6" t="inlineStr">
        <is>
          <t>スタッフ 13</t>
        </is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f>COUNTIF(C16:AD16,"休")+0.5*(COUNTIF(C16:AD16,"○/休")+COUNTIF(C16:AD16,"休/○"))</f>
      </c>
      <c r="AF16" s="5">
        <f>COUNTIF(C16:AD16,"有")+0.5*(COUNTIF(C16:AD16,"○/有")+COUNTIF(C16:AD16,"有/○"))</f>
      </c>
      <c r="AG16" s="8"/>
    </row>
    <row r="17" ht="20">
      <c r="A17" s="7">
        <v>14</v>
      </c>
      <c r="B17" s="6" t="inlineStr">
        <is>
          <t>スタッフ 14</t>
        </is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f>COUNTIF(C17:AD17,"休")+0.5*(COUNTIF(C17:AD17,"○/休")+COUNTIF(C17:AD17,"休/○"))</f>
      </c>
      <c r="AF17" s="5">
        <f>COUNTIF(C17:AD17,"有")+0.5*(COUNTIF(C17:AD17,"○/有")+COUNTIF(C17:AD17,"有/○"))</f>
      </c>
      <c r="AG17" s="8"/>
    </row>
    <row r="18" ht="20">
      <c r="A18" s="7">
        <v>15</v>
      </c>
      <c r="B18" s="6" t="inlineStr">
        <is>
          <t>スタッフ 15</t>
        </is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f>COUNTIF(C18:AD18,"休")+0.5*(COUNTIF(C18:AD18,"○/休")+COUNTIF(C18:AD18,"休/○"))</f>
      </c>
      <c r="AF18" s="5">
        <f>COUNTIF(C18:AD18,"有")+0.5*(COUNTIF(C18:AD18,"○/有")+COUNTIF(C18:AD18,"有/○"))</f>
      </c>
      <c r="AG18" s="8"/>
    </row>
    <row r="19" ht="20">
      <c r="A19" s="7">
        <v>16</v>
      </c>
      <c r="B19" s="6" t="inlineStr">
        <is>
          <t>スタッフ 16</t>
        </is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f>COUNTIF(C19:AD19,"休")+0.5*(COUNTIF(C19:AD19,"○/休")+COUNTIF(C19:AD19,"休/○"))</f>
      </c>
      <c r="AF19" s="5">
        <f>COUNTIF(C19:AD19,"有")+0.5*(COUNTIF(C19:AD19,"○/有")+COUNTIF(C19:AD19,"有/○"))</f>
      </c>
      <c r="AG19" s="8"/>
    </row>
    <row r="20" ht="20">
      <c r="A20" s="7">
        <v>17</v>
      </c>
      <c r="B20" s="6" t="inlineStr">
        <is>
          <t>スタッフ 17</t>
        </is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f>COUNTIF(C20:AD20,"休")+0.5*(COUNTIF(C20:AD20,"○/休")+COUNTIF(C20:AD20,"休/○"))</f>
      </c>
      <c r="AF20" s="5">
        <f>COUNTIF(C20:AD20,"有")+0.5*(COUNTIF(C20:AD20,"○/有")+COUNTIF(C20:AD20,"有/○"))</f>
      </c>
      <c r="AG20" s="8"/>
    </row>
    <row r="21" ht="20">
      <c r="A21" s="7">
        <v>18</v>
      </c>
      <c r="B21" s="6" t="inlineStr">
        <is>
          <t>スタッフ 18</t>
        </is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f>COUNTIF(C21:AD21,"休")+0.5*(COUNTIF(C21:AD21,"○/休")+COUNTIF(C21:AD21,"休/○"))</f>
      </c>
      <c r="AF21" s="5">
        <f>COUNTIF(C21:AD21,"有")+0.5*(COUNTIF(C21:AD21,"○/有")+COUNTIF(C21:AD21,"有/○"))</f>
      </c>
      <c r="AG21" s="8"/>
    </row>
    <row r="22" ht="20">
      <c r="A22" s="7">
        <v>19</v>
      </c>
      <c r="B22" s="6" t="inlineStr">
        <is>
          <t>スタッフ 19</t>
        </is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f>COUNTIF(C22:AD22,"休")+0.5*(COUNTIF(C22:AD22,"○/休")+COUNTIF(C22:AD22,"休/○"))</f>
      </c>
      <c r="AF22" s="5">
        <f>COUNTIF(C22:AD22,"有")+0.5*(COUNTIF(C22:AD22,"○/有")+COUNTIF(C22:AD22,"有/○"))</f>
      </c>
      <c r="AG22" s="8"/>
    </row>
    <row r="23" ht="20">
      <c r="A23" s="7">
        <v>20</v>
      </c>
      <c r="B23" s="6" t="inlineStr">
        <is>
          <t>スタッフ 20</t>
        </is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f>COUNTIF(C23:AD23,"休")+0.5*(COUNTIF(C23:AD23,"○/休")+COUNTIF(C23:AD23,"休/○"))</f>
      </c>
      <c r="AF23" s="5">
        <f>COUNTIF(C23:AD23,"有")+0.5*(COUNTIF(C23:AD23,"○/有")+COUNTIF(C23:AD23,"有/○"))</f>
      </c>
      <c r="AG23" s="8"/>
    </row>
    <row r="24" ht="20">
      <c r="A24" s="7">
        <v>21</v>
      </c>
      <c r="B24" s="6" t="inlineStr">
        <is>
          <t>スタッフ 21</t>
        </is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f>COUNTIF(C24:AD24,"休")+0.5*(COUNTIF(C24:AD24,"○/休")+COUNTIF(C24:AD24,"休/○"))</f>
      </c>
      <c r="AF24" s="5">
        <f>COUNTIF(C24:AD24,"有")+0.5*(COUNTIF(C24:AD24,"○/有")+COUNTIF(C24:AD24,"有/○"))</f>
      </c>
      <c r="AG24" s="8"/>
    </row>
    <row r="25" ht="20">
      <c r="A25" s="7">
        <v>22</v>
      </c>
      <c r="B25" s="6" t="inlineStr">
        <is>
          <t>スタッフ 22</t>
        </is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f>COUNTIF(C25:AD25,"休")+0.5*(COUNTIF(C25:AD25,"○/休")+COUNTIF(C25:AD25,"休/○"))</f>
      </c>
      <c r="AF25" s="5">
        <f>COUNTIF(C25:AD25,"有")+0.5*(COUNTIF(C25:AD25,"○/有")+COUNTIF(C25:AD25,"有/○"))</f>
      </c>
      <c r="AG25" s="8"/>
    </row>
    <row r="26" ht="20">
      <c r="A26" s="7">
        <v>23</v>
      </c>
      <c r="B26" s="6" t="inlineStr">
        <is>
          <t>スタッフ 23</t>
        </is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f>COUNTIF(C26:AD26,"休")+0.5*(COUNTIF(C26:AD26,"○/休")+COUNTIF(C26:AD26,"休/○"))</f>
      </c>
      <c r="AF26" s="5">
        <f>COUNTIF(C26:AD26,"有")+0.5*(COUNTIF(C26:AD26,"○/有")+COUNTIF(C26:AD26,"有/○"))</f>
      </c>
      <c r="AG26" s="8"/>
    </row>
    <row r="27" ht="20">
      <c r="A27" s="7">
        <v>24</v>
      </c>
      <c r="B27" s="6" t="inlineStr">
        <is>
          <t>スタッフ 24</t>
        </is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f>COUNTIF(C27:AD27,"休")+0.5*(COUNTIF(C27:AD27,"○/休")+COUNTIF(C27:AD27,"休/○"))</f>
      </c>
      <c r="AF27" s="5">
        <f>COUNTIF(C27:AD27,"有")+0.5*(COUNTIF(C27:AD27,"○/有")+COUNTIF(C27:AD27,"有/○"))</f>
      </c>
      <c r="AG27" s="8"/>
    </row>
    <row r="28" ht="20">
      <c r="A28" s="7">
        <v>25</v>
      </c>
      <c r="B28" s="6" t="inlineStr">
        <is>
          <t>スタッフ 25</t>
        </is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f>COUNTIF(C28:AD28,"休")+0.5*(COUNTIF(C28:AD28,"○/休")+COUNTIF(C28:AD28,"休/○"))</f>
      </c>
      <c r="AF28" s="5">
        <f>COUNTIF(C28:AD28,"有")+0.5*(COUNTIF(C28:AD28,"○/有")+COUNTIF(C28:AD28,"有/○"))</f>
      </c>
      <c r="AG28" s="8"/>
    </row>
    <row r="29" ht="20">
      <c r="A29" s="7">
        <v>26</v>
      </c>
      <c r="B29" s="6" t="inlineStr">
        <is>
          <t>スタッフ 26</t>
        </is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f>COUNTIF(C29:AD29,"休")+0.5*(COUNTIF(C29:AD29,"○/休")+COUNTIF(C29:AD29,"休/○"))</f>
      </c>
      <c r="AF29" s="5">
        <f>COUNTIF(C29:AD29,"有")+0.5*(COUNTIF(C29:AD29,"○/有")+COUNTIF(C29:AD29,"有/○"))</f>
      </c>
      <c r="AG29" s="8"/>
    </row>
    <row r="30" ht="20">
      <c r="A30" s="7">
        <v>27</v>
      </c>
      <c r="B30" s="6" t="inlineStr">
        <is>
          <t>スタッフ 27</t>
        </is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f>COUNTIF(C30:AD30,"休")+0.5*(COUNTIF(C30:AD30,"○/休")+COUNTIF(C30:AD30,"休/○"))</f>
      </c>
      <c r="AF30" s="5">
        <f>COUNTIF(C30:AD30,"有")+0.5*(COUNTIF(C30:AD30,"○/有")+COUNTIF(C30:AD30,"有/○"))</f>
      </c>
      <c r="AG30" s="8"/>
    </row>
    <row r="31" ht="20">
      <c r="A31" s="7">
        <v>28</v>
      </c>
      <c r="B31" s="6" t="inlineStr">
        <is>
          <t>スタッフ 28</t>
        </is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f>COUNTIF(C31:AD31,"休")+0.5*(COUNTIF(C31:AD31,"○/休")+COUNTIF(C31:AD31,"休/○"))</f>
      </c>
      <c r="AF31" s="5">
        <f>COUNTIF(C31:AD31,"有")+0.5*(COUNTIF(C31:AD31,"○/有")+COUNTIF(C31:AD31,"有/○"))</f>
      </c>
      <c r="AG31" s="8"/>
    </row>
    <row r="32" ht="20">
      <c r="A32" s="7">
        <v>29</v>
      </c>
      <c r="B32" s="6" t="inlineStr">
        <is>
          <t>スタッフ 29</t>
        </is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f>COUNTIF(C32:AD32,"休")+0.5*(COUNTIF(C32:AD32,"○/休")+COUNTIF(C32:AD32,"休/○"))</f>
      </c>
      <c r="AF32" s="5">
        <f>COUNTIF(C32:AD32,"有")+0.5*(COUNTIF(C32:AD32,"○/有")+COUNTIF(C32:AD32,"有/○"))</f>
      </c>
      <c r="AG32" s="8"/>
    </row>
    <row r="33" ht="20">
      <c r="A33" s="7">
        <v>30</v>
      </c>
      <c r="B33" s="6" t="inlineStr">
        <is>
          <t>スタッフ 30</t>
        </is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f>COUNTIF(C33:AD33,"休")+0.5*(COUNTIF(C33:AD33,"○/休")+COUNTIF(C33:AD33,"休/○"))</f>
      </c>
      <c r="AF33" s="5">
        <f>COUNTIF(C33:AD33,"有")+0.5*(COUNTIF(C33:AD33,"○/有")+COUNTIF(C33:AD33,"有/○"))</f>
      </c>
      <c r="AG33" s="8"/>
    </row>
    <row r="34" ht="20">
      <c r="A34" s="7">
        <v>31</v>
      </c>
      <c r="B34" s="6" t="inlineStr">
        <is>
          <t>スタッフ 31</t>
        </is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f>COUNTIF(C34:AD34,"休")+0.5*(COUNTIF(C34:AD34,"○/休")+COUNTIF(C34:AD34,"休/○"))</f>
      </c>
      <c r="AF34" s="5">
        <f>COUNTIF(C34:AD34,"有")+0.5*(COUNTIF(C34:AD34,"○/有")+COUNTIF(C34:AD34,"有/○"))</f>
      </c>
      <c r="AG34" s="8"/>
    </row>
    <row r="35" ht="20">
      <c r="A35" s="7">
        <v>32</v>
      </c>
      <c r="B35" s="6" t="inlineStr">
        <is>
          <t>スタッフ 32</t>
        </is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f>COUNTIF(C35:AD35,"休")+0.5*(COUNTIF(C35:AD35,"○/休")+COUNTIF(C35:AD35,"休/○"))</f>
      </c>
      <c r="AF35" s="5">
        <f>COUNTIF(C35:AD35,"有")+0.5*(COUNTIF(C35:AD35,"○/有")+COUNTIF(C35:AD35,"有/○"))</f>
      </c>
      <c r="AG35" s="8"/>
    </row>
    <row r="36" ht="20">
      <c r="A36" s="7">
        <v>33</v>
      </c>
      <c r="B36" s="6" t="inlineStr">
        <is>
          <t>スタッフ 33</t>
        </is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f>COUNTIF(C36:AD36,"休")+0.5*(COUNTIF(C36:AD36,"○/休")+COUNTIF(C36:AD36,"休/○"))</f>
      </c>
      <c r="AF36" s="5">
        <f>COUNTIF(C36:AD36,"有")+0.5*(COUNTIF(C36:AD36,"○/有")+COUNTIF(C36:AD36,"有/○"))</f>
      </c>
      <c r="AG36" s="8"/>
    </row>
    <row r="37" ht="20">
      <c r="A37" s="7">
        <v>34</v>
      </c>
      <c r="B37" s="6" t="inlineStr">
        <is>
          <t>スタッフ 34</t>
        </is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f>COUNTIF(C37:AD37,"休")+0.5*(COUNTIF(C37:AD37,"○/休")+COUNTIF(C37:AD37,"休/○"))</f>
      </c>
      <c r="AF37" s="5">
        <f>COUNTIF(C37:AD37,"有")+0.5*(COUNTIF(C37:AD37,"○/有")+COUNTIF(C37:AD37,"有/○"))</f>
      </c>
      <c r="AG37" s="8"/>
    </row>
    <row r="38" ht="20">
      <c r="A38" s="7">
        <v>35</v>
      </c>
      <c r="B38" s="6" t="inlineStr">
        <is>
          <t>スタッフ 35</t>
        </is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f>COUNTIF(C38:AD38,"休")+0.5*(COUNTIF(C38:AD38,"○/休")+COUNTIF(C38:AD38,"休/○"))</f>
      </c>
      <c r="AF38" s="5">
        <f>COUNTIF(C38:AD38,"有")+0.5*(COUNTIF(C38:AD38,"○/有")+COUNTIF(C38:AD38,"有/○"))</f>
      </c>
      <c r="AG38" s="8"/>
    </row>
    <row r="39" ht="20">
      <c r="A39" s="7">
        <v>36</v>
      </c>
      <c r="B39" s="6" t="inlineStr">
        <is>
          <t>スタッフ 36</t>
        </is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f>COUNTIF(C39:AD39,"休")+0.5*(COUNTIF(C39:AD39,"○/休")+COUNTIF(C39:AD39,"休/○"))</f>
      </c>
      <c r="AF39" s="5">
        <f>COUNTIF(C39:AD39,"有")+0.5*(COUNTIF(C39:AD39,"○/有")+COUNTIF(C39:AD39,"有/○"))</f>
      </c>
      <c r="AG39" s="8"/>
    </row>
    <row r="40" ht="20">
      <c r="A40" s="7">
        <v>37</v>
      </c>
      <c r="B40" s="6" t="inlineStr">
        <is>
          <t>スタッフ 37</t>
        </is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f>COUNTIF(C40:AD40,"休")+0.5*(COUNTIF(C40:AD40,"○/休")+COUNTIF(C40:AD40,"休/○"))</f>
      </c>
      <c r="AF40" s="5">
        <f>COUNTIF(C40:AD40,"有")+0.5*(COUNTIF(C40:AD40,"○/有")+COUNTIF(C40:AD40,"有/○"))</f>
      </c>
      <c r="AG40" s="8"/>
    </row>
    <row r="41" ht="20">
      <c r="A41" s="7">
        <v>38</v>
      </c>
      <c r="B41" s="6" t="inlineStr">
        <is>
          <t>スタッフ 38</t>
        </is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f>COUNTIF(C41:AD41,"休")+0.5*(COUNTIF(C41:AD41,"○/休")+COUNTIF(C41:AD41,"休/○"))</f>
      </c>
      <c r="AF41" s="5">
        <f>COUNTIF(C41:AD41,"有")+0.5*(COUNTIF(C41:AD41,"○/有")+COUNTIF(C41:AD41,"有/○"))</f>
      </c>
      <c r="AG41" s="8"/>
    </row>
    <row r="42" ht="20">
      <c r="A42" s="7">
        <v>39</v>
      </c>
      <c r="B42" s="6" t="inlineStr">
        <is>
          <t>スタッフ 39</t>
        </is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f>COUNTIF(C42:AD42,"休")+0.5*(COUNTIF(C42:AD42,"○/休")+COUNTIF(C42:AD42,"休/○"))</f>
      </c>
      <c r="AF42" s="5">
        <f>COUNTIF(C42:AD42,"有")+0.5*(COUNTIF(C42:AD42,"○/有")+COUNTIF(C42:AD42,"有/○"))</f>
      </c>
      <c r="AG42" s="8"/>
    </row>
    <row r="43" ht="20">
      <c r="A43" s="7">
        <v>40</v>
      </c>
      <c r="B43" s="6" t="inlineStr">
        <is>
          <t>スタッフ 40</t>
        </is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f>COUNTIF(C43:AD43,"休")+0.5*(COUNTIF(C43:AD43,"○/休")+COUNTIF(C43:AD43,"休/○"))</f>
      </c>
      <c r="AF43" s="5">
        <f>COUNTIF(C43:AD43,"有")+0.5*(COUNTIF(C43:AD43,"○/有")+COUNTIF(C43:AD43,"有/○"))</f>
      </c>
      <c r="AG43" s="8"/>
    </row>
    <row r="44" ht="20">
      <c r="A44" s="7">
        <v>41</v>
      </c>
      <c r="B44" s="6" t="inlineStr">
        <is>
          <t>スタッフ 41</t>
        </is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f>COUNTIF(C44:AD44,"休")+0.5*(COUNTIF(C44:AD44,"○/休")+COUNTIF(C44:AD44,"休/○"))</f>
      </c>
      <c r="AF44" s="5">
        <f>COUNTIF(C44:AD44,"有")+0.5*(COUNTIF(C44:AD44,"○/有")+COUNTIF(C44:AD44,"有/○"))</f>
      </c>
      <c r="AG44" s="8"/>
    </row>
    <row r="45" ht="20">
      <c r="A45" s="7">
        <v>42</v>
      </c>
      <c r="B45" s="6" t="inlineStr">
        <is>
          <t>スタッフ 42</t>
        </is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f>COUNTIF(C45:AD45,"休")+0.5*(COUNTIF(C45:AD45,"○/休")+COUNTIF(C45:AD45,"休/○"))</f>
      </c>
      <c r="AF45" s="5">
        <f>COUNTIF(C45:AD45,"有")+0.5*(COUNTIF(C45:AD45,"○/有")+COUNTIF(C45:AD45,"有/○"))</f>
      </c>
      <c r="AG45" s="8"/>
    </row>
    <row r="46" ht="20">
      <c r="A46" s="7">
        <v>43</v>
      </c>
      <c r="B46" s="6" t="inlineStr">
        <is>
          <t>スタッフ 43</t>
        </is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f>COUNTIF(C46:AD46,"休")+0.5*(COUNTIF(C46:AD46,"○/休")+COUNTIF(C46:AD46,"休/○"))</f>
      </c>
      <c r="AF46" s="5">
        <f>COUNTIF(C46:AD46,"有")+0.5*(COUNTIF(C46:AD46,"○/有")+COUNTIF(C46:AD46,"有/○"))</f>
      </c>
      <c r="AG46" s="8"/>
    </row>
    <row r="47" ht="20">
      <c r="A47" s="7">
        <v>44</v>
      </c>
      <c r="B47" s="6" t="inlineStr">
        <is>
          <t>スタッフ 44</t>
        </is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f>COUNTIF(C47:AD47,"休")+0.5*(COUNTIF(C47:AD47,"○/休")+COUNTIF(C47:AD47,"休/○"))</f>
      </c>
      <c r="AF47" s="5">
        <f>COUNTIF(C47:AD47,"有")+0.5*(COUNTIF(C47:AD47,"○/有")+COUNTIF(C47:AD47,"有/○"))</f>
      </c>
      <c r="AG47" s="8"/>
    </row>
    <row r="48" ht="20">
      <c r="A48" s="7">
        <v>45</v>
      </c>
      <c r="B48" s="6" t="inlineStr">
        <is>
          <t>スタッフ 45</t>
        </is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f>COUNTIF(C48:AD48,"休")+0.5*(COUNTIF(C48:AD48,"○/休")+COUNTIF(C48:AD48,"休/○"))</f>
      </c>
      <c r="AF48" s="5">
        <f>COUNTIF(C48:AD48,"有")+0.5*(COUNTIF(C48:AD48,"○/有")+COUNTIF(C48:AD48,"有/○"))</f>
      </c>
      <c r="AG48" s="8"/>
    </row>
    <row r="49" ht="20">
      <c r="A49" s="7">
        <v>46</v>
      </c>
      <c r="B49" s="6" t="inlineStr">
        <is>
          <t>スタッフ 46</t>
        </is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f>COUNTIF(C49:AD49,"休")+0.5*(COUNTIF(C49:AD49,"○/休")+COUNTIF(C49:AD49,"休/○"))</f>
      </c>
      <c r="AF49" s="5">
        <f>COUNTIF(C49:AD49,"有")+0.5*(COUNTIF(C49:AD49,"○/有")+COUNTIF(C49:AD49,"有/○"))</f>
      </c>
      <c r="AG49" s="8"/>
    </row>
    <row r="50" ht="20">
      <c r="A50" s="7">
        <v>47</v>
      </c>
      <c r="B50" s="6" t="inlineStr">
        <is>
          <t>スタッフ 47</t>
        </is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f>COUNTIF(C50:AD50,"休")+0.5*(COUNTIF(C50:AD50,"○/休")+COUNTIF(C50:AD50,"休/○"))</f>
      </c>
      <c r="AF50" s="5">
        <f>COUNTIF(C50:AD50,"有")+0.5*(COUNTIF(C50:AD50,"○/有")+COUNTIF(C50:AD50,"有/○"))</f>
      </c>
      <c r="AG50" s="8"/>
    </row>
    <row r="51" ht="20">
      <c r="A51" s="7">
        <v>48</v>
      </c>
      <c r="B51" s="6" t="inlineStr">
        <is>
          <t>スタッフ 48</t>
        </is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f>COUNTIF(C51:AD51,"休")+0.5*(COUNTIF(C51:AD51,"○/休")+COUNTIF(C51:AD51,"休/○"))</f>
      </c>
      <c r="AF51" s="5">
        <f>COUNTIF(C51:AD51,"有")+0.5*(COUNTIF(C51:AD51,"○/有")+COUNTIF(C51:AD51,"有/○"))</f>
      </c>
      <c r="AG51" s="8"/>
    </row>
    <row r="52" ht="20">
      <c r="A52" s="7">
        <v>49</v>
      </c>
      <c r="B52" s="6" t="inlineStr">
        <is>
          <t>スタッフ 49</t>
        </is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f>COUNTIF(C52:AD52,"休")+0.5*(COUNTIF(C52:AD52,"○/休")+COUNTIF(C52:AD52,"休/○"))</f>
      </c>
      <c r="AF52" s="5">
        <f>COUNTIF(C52:AD52,"有")+0.5*(COUNTIF(C52:AD52,"○/有")+COUNTIF(C52:AD52,"有/○"))</f>
      </c>
      <c r="AG52" s="8"/>
    </row>
    <row r="53" ht="20">
      <c r="A53" s="7">
        <v>50</v>
      </c>
      <c r="B53" s="6" t="inlineStr">
        <is>
          <t>スタッフ 50</t>
        </is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f>COUNTIF(C53:AD53,"休")+0.5*(COUNTIF(C53:AD53,"○/休")+COUNTIF(C53:AD53,"休/○"))</f>
      </c>
      <c r="AF53" s="5">
        <f>COUNTIF(C53:AD53,"有")+0.5*(COUNTIF(C53:AD53,"○/有")+COUNTIF(C53:AD53,"有/○"))</f>
      </c>
      <c r="AG53" s="8"/>
    </row>
  </sheetData>
  <dataValidations count="1">
    <dataValidation type="list" allowBlank="1" showInputMessage="1" showErrorMessage="1" sqref="C4:AD53">
      <formula1>"○,休,有,早,遅,E,8時,上1,上2,上3,上4,上5,下1,下2,下3,○/休,休/○,○/有,有/○"</formula1>
    </dataValidation>
  </dataValidations>
</worksheet>
</file>