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5">
    <font>
      <sz val="10"/>
      <color rgb="FF1E293B"/>
      <name val="Meiryo"/>
    </font>
    <font>
      <b/>
      <sz val="11"/>
      <color rgb="FF0F172A"/>
      <name val="Meiryo"/>
    </font>
    <font>
      <b/>
      <sz val="10"/>
      <color rgb="FF0284C7"/>
      <name val="Meiryo"/>
    </font>
    <font>
      <b/>
      <sz val="10"/>
      <color rgb="FFE11D48"/>
      <name val="Meiryo"/>
    </font>
    <font>
      <b/>
      <sz val="12"/>
      <color rgb="FF0F172A"/>
      <name val="Meiryo"/>
    </font>
  </fonts>
  <fills count="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FFE4E6"/>
      </patternFill>
    </fill>
    <fill>
      <patternFill patternType="solid">
        <fgColor rgb="FFF8FAFC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 customHeight="1">
      <c r="A1" s="1" t="inlineStr">
        <is>
          <t>2026年4月勤務表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INDIRECT("B$4:B"&amp;(ROW()-1)),"○"),COUNTIF(INDIRECT("B$4:B"&amp;(ROW()-1)),"〇"),COUNTIF(INDIRECT("B$4:B"&amp;(ROW()-1)),"出"),COUNTIF(INDIRECT("B$4:B"&amp;(ROW()-1)),"早"),COUNTIF(INDIRECT("B$4:B"&amp;(ROW()-1)),"遅"),COUNTIF(INDIRECT("B$4:B"&amp;(ROW()-1)),"E"),COUNTIF(INDIRECT("B$4:B"&amp;(ROW()-1)),"8時"),COUNTIF(INDIRECT("B$4:B"&amp;(ROW()-1)),"ハヤ"),COUNTIF(INDIRECT("B$4:B"&amp;(ROW()-1)),"オソ"),COUNTIF(INDIRECT("B$4:B"&amp;(ROW()-1)),"イブ"))</f>
        <v>0</v>
      </c>
      <c r="C52" s="9">
        <f>SUM(COUNTIF(INDIRECT("C$4:C"&amp;(ROW()-1)),"○"),COUNTIF(INDIRECT("C$4:C"&amp;(ROW()-1)),"〇"),COUNTIF(INDIRECT("C$4:C"&amp;(ROW()-1)),"出"),COUNTIF(INDIRECT("C$4:C"&amp;(ROW()-1)),"早"),COUNTIF(INDIRECT("C$4:C"&amp;(ROW()-1)),"遅"),COUNTIF(INDIRECT("C$4:C"&amp;(ROW()-1)),"E"),COUNTIF(INDIRECT("C$4:C"&amp;(ROW()-1)),"8時"),COUNTIF(INDIRECT("C$4:C"&amp;(ROW()-1)),"ハヤ"),COUNTIF(INDIRECT("C$4:C"&amp;(ROW()-1)),"オソ"),COUNTIF(INDIRECT("C$4:C"&amp;(ROW()-1)),"イブ"))</f>
        <v>0</v>
      </c>
      <c r="D52" s="9">
        <f>SUM(COUNTIF(INDIRECT("D$4:D"&amp;(ROW()-1)),"○"),COUNTIF(INDIRECT("D$4:D"&amp;(ROW()-1)),"〇"),COUNTIF(INDIRECT("D$4:D"&amp;(ROW()-1)),"出"),COUNTIF(INDIRECT("D$4:D"&amp;(ROW()-1)),"早"),COUNTIF(INDIRECT("D$4:D"&amp;(ROW()-1)),"遅"),COUNTIF(INDIRECT("D$4:D"&amp;(ROW()-1)),"E"),COUNTIF(INDIRECT("D$4:D"&amp;(ROW()-1)),"8時"),COUNTIF(INDIRECT("D$4:D"&amp;(ROW()-1)),"ハヤ"),COUNTIF(INDIRECT("D$4:D"&amp;(ROW()-1)),"オソ"),COUNTIF(INDIRECT("D$4:D"&amp;(ROW()-1)),"イブ"))</f>
        <v>0</v>
      </c>
      <c r="E52" s="9">
        <f>SUM(COUNTIF(INDIRECT("E$4:E"&amp;(ROW()-1)),"○"),COUNTIF(INDIRECT("E$4:E"&amp;(ROW()-1)),"〇"),COUNTIF(INDIRECT("E$4:E"&amp;(ROW()-1)),"出"),COUNTIF(INDIRECT("E$4:E"&amp;(ROW()-1)),"早"),COUNTIF(INDIRECT("E$4:E"&amp;(ROW()-1)),"遅"),COUNTIF(INDIRECT("E$4:E"&amp;(ROW()-1)),"E"),COUNTIF(INDIRECT("E$4:E"&amp;(ROW()-1)),"8時"),COUNTIF(INDIRECT("E$4:E"&amp;(ROW()-1)),"ハヤ"),COUNTIF(INDIRECT("E$4:E"&amp;(ROW()-1)),"オソ"),COUNTIF(INDIRECT("E$4:E"&amp;(ROW()-1)),"イブ"))</f>
        <v>0</v>
      </c>
      <c r="F52" s="9">
        <f>SUM(COUNTIF(INDIRECT("F$4:F"&amp;(ROW()-1)),"○"),COUNTIF(INDIRECT("F$4:F"&amp;(ROW()-1)),"〇"),COUNTIF(INDIRECT("F$4:F"&amp;(ROW()-1)),"出"),COUNTIF(INDIRECT("F$4:F"&amp;(ROW()-1)),"早"),COUNTIF(INDIRECT("F$4:F"&amp;(ROW()-1)),"遅"),COUNTIF(INDIRECT("F$4:F"&amp;(ROW()-1)),"E"),COUNTIF(INDIRECT("F$4:F"&amp;(ROW()-1)),"8時"),COUNTIF(INDIRECT("F$4:F"&amp;(ROW()-1)),"ハヤ"),COUNTIF(INDIRECT("F$4:F"&amp;(ROW()-1)),"オソ"),COUNTIF(INDIRECT("F$4:F"&amp;(ROW()-1)),"イブ"))</f>
        <v>0</v>
      </c>
      <c r="G52" s="9">
        <f>SUM(COUNTIF(INDIRECT("G$4:G"&amp;(ROW()-1)),"○"),COUNTIF(INDIRECT("G$4:G"&amp;(ROW()-1)),"〇"),COUNTIF(INDIRECT("G$4:G"&amp;(ROW()-1)),"出"),COUNTIF(INDIRECT("G$4:G"&amp;(ROW()-1)),"早"),COUNTIF(INDIRECT("G$4:G"&amp;(ROW()-1)),"遅"),COUNTIF(INDIRECT("G$4:G"&amp;(ROW()-1)),"E"),COUNTIF(INDIRECT("G$4:G"&amp;(ROW()-1)),"8時"),COUNTIF(INDIRECT("G$4:G"&amp;(ROW()-1)),"ハヤ"),COUNTIF(INDIRECT("G$4:G"&amp;(ROW()-1)),"オソ"),COUNTIF(INDIRECT("G$4:G"&amp;(ROW()-1)),"イブ"))</f>
        <v>0</v>
      </c>
      <c r="H52" s="9">
        <f>SUM(COUNTIF(INDIRECT("H$4:H"&amp;(ROW()-1)),"○"),COUNTIF(INDIRECT("H$4:H"&amp;(ROW()-1)),"〇"),COUNTIF(INDIRECT("H$4:H"&amp;(ROW()-1)),"出"),COUNTIF(INDIRECT("H$4:H"&amp;(ROW()-1)),"早"),COUNTIF(INDIRECT("H$4:H"&amp;(ROW()-1)),"遅"),COUNTIF(INDIRECT("H$4:H"&amp;(ROW()-1)),"E"),COUNTIF(INDIRECT("H$4:H"&amp;(ROW()-1)),"8時"),COUNTIF(INDIRECT("H$4:H"&amp;(ROW()-1)),"ハヤ"),COUNTIF(INDIRECT("H$4:H"&amp;(ROW()-1)),"オソ"),COUNTIF(INDIRECT("H$4:H"&amp;(ROW()-1)),"イブ"))</f>
        <v>0</v>
      </c>
      <c r="I52" s="9">
        <f>SUM(COUNTIF(INDIRECT("I$4:I"&amp;(ROW()-1)),"○"),COUNTIF(INDIRECT("I$4:I"&amp;(ROW()-1)),"〇"),COUNTIF(INDIRECT("I$4:I"&amp;(ROW()-1)),"出"),COUNTIF(INDIRECT("I$4:I"&amp;(ROW()-1)),"早"),COUNTIF(INDIRECT("I$4:I"&amp;(ROW()-1)),"遅"),COUNTIF(INDIRECT("I$4:I"&amp;(ROW()-1)),"E"),COUNTIF(INDIRECT("I$4:I"&amp;(ROW()-1)),"8時"),COUNTIF(INDIRECT("I$4:I"&amp;(ROW()-1)),"ハヤ"),COUNTIF(INDIRECT("I$4:I"&amp;(ROW()-1)),"オソ"),COUNTIF(INDIRECT("I$4:I"&amp;(ROW()-1)),"イブ"))</f>
        <v>0</v>
      </c>
      <c r="J52" s="9">
        <f>SUM(COUNTIF(INDIRECT("J$4:J"&amp;(ROW()-1)),"○"),COUNTIF(INDIRECT("J$4:J"&amp;(ROW()-1)),"〇"),COUNTIF(INDIRECT("J$4:J"&amp;(ROW()-1)),"出"),COUNTIF(INDIRECT("J$4:J"&amp;(ROW()-1)),"早"),COUNTIF(INDIRECT("J$4:J"&amp;(ROW()-1)),"遅"),COUNTIF(INDIRECT("J$4:J"&amp;(ROW()-1)),"E"),COUNTIF(INDIRECT("J$4:J"&amp;(ROW()-1)),"8時"),COUNTIF(INDIRECT("J$4:J"&amp;(ROW()-1)),"ハヤ"),COUNTIF(INDIRECT("J$4:J"&amp;(ROW()-1)),"オソ"),COUNTIF(INDIRECT("J$4:J"&amp;(ROW()-1)),"イブ"))</f>
        <v>0</v>
      </c>
      <c r="K52" s="9">
        <f>SUM(COUNTIF(INDIRECT("K$4:K"&amp;(ROW()-1)),"○"),COUNTIF(INDIRECT("K$4:K"&amp;(ROW()-1)),"〇"),COUNTIF(INDIRECT("K$4:K"&amp;(ROW()-1)),"出"),COUNTIF(INDIRECT("K$4:K"&amp;(ROW()-1)),"早"),COUNTIF(INDIRECT("K$4:K"&amp;(ROW()-1)),"遅"),COUNTIF(INDIRECT("K$4:K"&amp;(ROW()-1)),"E"),COUNTIF(INDIRECT("K$4:K"&amp;(ROW()-1)),"8時"),COUNTIF(INDIRECT("K$4:K"&amp;(ROW()-1)),"ハヤ"),COUNTIF(INDIRECT("K$4:K"&amp;(ROW()-1)),"オソ"),COUNTIF(INDIRECT("K$4:K"&amp;(ROW()-1)),"イブ"))</f>
        <v>0</v>
      </c>
      <c r="L52" s="9">
        <f>SUM(COUNTIF(INDIRECT("L$4:L"&amp;(ROW()-1)),"○"),COUNTIF(INDIRECT("L$4:L"&amp;(ROW()-1)),"〇"),COUNTIF(INDIRECT("L$4:L"&amp;(ROW()-1)),"出"),COUNTIF(INDIRECT("L$4:L"&amp;(ROW()-1)),"早"),COUNTIF(INDIRECT("L$4:L"&amp;(ROW()-1)),"遅"),COUNTIF(INDIRECT("L$4:L"&amp;(ROW()-1)),"E"),COUNTIF(INDIRECT("L$4:L"&amp;(ROW()-1)),"8時"),COUNTIF(INDIRECT("L$4:L"&amp;(ROW()-1)),"ハヤ"),COUNTIF(INDIRECT("L$4:L"&amp;(ROW()-1)),"オソ"),COUNTIF(INDIRECT("L$4:L"&amp;(ROW()-1)),"イブ"))</f>
        <v>0</v>
      </c>
      <c r="M52" s="9">
        <f>SUM(COUNTIF(INDIRECT("M$4:M"&amp;(ROW()-1)),"○"),COUNTIF(INDIRECT("M$4:M"&amp;(ROW()-1)),"〇"),COUNTIF(INDIRECT("M$4:M"&amp;(ROW()-1)),"出"),COUNTIF(INDIRECT("M$4:M"&amp;(ROW()-1)),"早"),COUNTIF(INDIRECT("M$4:M"&amp;(ROW()-1)),"遅"),COUNTIF(INDIRECT("M$4:M"&amp;(ROW()-1)),"E"),COUNTIF(INDIRECT("M$4:M"&amp;(ROW()-1)),"8時"),COUNTIF(INDIRECT("M$4:M"&amp;(ROW()-1)),"ハヤ"),COUNTIF(INDIRECT("M$4:M"&amp;(ROW()-1)),"オソ"),COUNTIF(INDIRECT("M$4:M"&amp;(ROW()-1)),"イブ"))</f>
        <v>0</v>
      </c>
      <c r="N52" s="9">
        <f>SUM(COUNTIF(INDIRECT("N$4:N"&amp;(ROW()-1)),"○"),COUNTIF(INDIRECT("N$4:N"&amp;(ROW()-1)),"〇"),COUNTIF(INDIRECT("N$4:N"&amp;(ROW()-1)),"出"),COUNTIF(INDIRECT("N$4:N"&amp;(ROW()-1)),"早"),COUNTIF(INDIRECT("N$4:N"&amp;(ROW()-1)),"遅"),COUNTIF(INDIRECT("N$4:N"&amp;(ROW()-1)),"E"),COUNTIF(INDIRECT("N$4:N"&amp;(ROW()-1)),"8時"),COUNTIF(INDIRECT("N$4:N"&amp;(ROW()-1)),"ハヤ"),COUNTIF(INDIRECT("N$4:N"&amp;(ROW()-1)),"オソ"),COUNTIF(INDIRECT("N$4:N"&amp;(ROW()-1)),"イブ"))</f>
        <v>0</v>
      </c>
      <c r="O52" s="9">
        <f>SUM(COUNTIF(INDIRECT("O$4:O"&amp;(ROW()-1)),"○"),COUNTIF(INDIRECT("O$4:O"&amp;(ROW()-1)),"〇"),COUNTIF(INDIRECT("O$4:O"&amp;(ROW()-1)),"出"),COUNTIF(INDIRECT("O$4:O"&amp;(ROW()-1)),"早"),COUNTIF(INDIRECT("O$4:O"&amp;(ROW()-1)),"遅"),COUNTIF(INDIRECT("O$4:O"&amp;(ROW()-1)),"E"),COUNTIF(INDIRECT("O$4:O"&amp;(ROW()-1)),"8時"),COUNTIF(INDIRECT("O$4:O"&amp;(ROW()-1)),"ハヤ"),COUNTIF(INDIRECT("O$4:O"&amp;(ROW()-1)),"オソ"),COUNTIF(INDIRECT("O$4:O"&amp;(ROW()-1)),"イブ"))</f>
        <v>0</v>
      </c>
      <c r="P52" s="9">
        <f>SUM(COUNTIF(INDIRECT("P$4:P"&amp;(ROW()-1)),"○"),COUNTIF(INDIRECT("P$4:P"&amp;(ROW()-1)),"〇"),COUNTIF(INDIRECT("P$4:P"&amp;(ROW()-1)),"出"),COUNTIF(INDIRECT("P$4:P"&amp;(ROW()-1)),"早"),COUNTIF(INDIRECT("P$4:P"&amp;(ROW()-1)),"遅"),COUNTIF(INDIRECT("P$4:P"&amp;(ROW()-1)),"E"),COUNTIF(INDIRECT("P$4:P"&amp;(ROW()-1)),"8時"),COUNTIF(INDIRECT("P$4:P"&amp;(ROW()-1)),"ハヤ"),COUNTIF(INDIRECT("P$4:P"&amp;(ROW()-1)),"オソ"),COUNTIF(INDIRECT("P$4:P"&amp;(ROW()-1)),"イブ"))</f>
        <v>0</v>
      </c>
      <c r="Q52" s="9">
        <f>SUM(COUNTIF(INDIRECT("Q$4:Q"&amp;(ROW()-1)),"○"),COUNTIF(INDIRECT("Q$4:Q"&amp;(ROW()-1)),"〇"),COUNTIF(INDIRECT("Q$4:Q"&amp;(ROW()-1)),"出"),COUNTIF(INDIRECT("Q$4:Q"&amp;(ROW()-1)),"早"),COUNTIF(INDIRECT("Q$4:Q"&amp;(ROW()-1)),"遅"),COUNTIF(INDIRECT("Q$4:Q"&amp;(ROW()-1)),"E"),COUNTIF(INDIRECT("Q$4:Q"&amp;(ROW()-1)),"8時"),COUNTIF(INDIRECT("Q$4:Q"&amp;(ROW()-1)),"ハヤ"),COUNTIF(INDIRECT("Q$4:Q"&amp;(ROW()-1)),"オソ"),COUNTIF(INDIRECT("Q$4:Q"&amp;(ROW()-1)),"イブ"))</f>
        <v>0</v>
      </c>
      <c r="R52" s="9">
        <f>SUM(COUNTIF(INDIRECT("R$4:R"&amp;(ROW()-1)),"○"),COUNTIF(INDIRECT("R$4:R"&amp;(ROW()-1)),"〇"),COUNTIF(INDIRECT("R$4:R"&amp;(ROW()-1)),"出"),COUNTIF(INDIRECT("R$4:R"&amp;(ROW()-1)),"早"),COUNTIF(INDIRECT("R$4:R"&amp;(ROW()-1)),"遅"),COUNTIF(INDIRECT("R$4:R"&amp;(ROW()-1)),"E"),COUNTIF(INDIRECT("R$4:R"&amp;(ROW()-1)),"8時"),COUNTIF(INDIRECT("R$4:R"&amp;(ROW()-1)),"ハヤ"),COUNTIF(INDIRECT("R$4:R"&amp;(ROW()-1)),"オソ"),COUNTIF(INDIRECT("R$4:R"&amp;(ROW()-1)),"イブ"))</f>
        <v>0</v>
      </c>
      <c r="S52" s="9">
        <f>SUM(COUNTIF(INDIRECT("S$4:S"&amp;(ROW()-1)),"○"),COUNTIF(INDIRECT("S$4:S"&amp;(ROW()-1)),"〇"),COUNTIF(INDIRECT("S$4:S"&amp;(ROW()-1)),"出"),COUNTIF(INDIRECT("S$4:S"&amp;(ROW()-1)),"早"),COUNTIF(INDIRECT("S$4:S"&amp;(ROW()-1)),"遅"),COUNTIF(INDIRECT("S$4:S"&amp;(ROW()-1)),"E"),COUNTIF(INDIRECT("S$4:S"&amp;(ROW()-1)),"8時"),COUNTIF(INDIRECT("S$4:S"&amp;(ROW()-1)),"ハヤ"),COUNTIF(INDIRECT("S$4:S"&amp;(ROW()-1)),"オソ"),COUNTIF(INDIRECT("S$4:S"&amp;(ROW()-1)),"イブ"))</f>
        <v>0</v>
      </c>
      <c r="T52" s="9">
        <f>SUM(COUNTIF(INDIRECT("T$4:T"&amp;(ROW()-1)),"○"),COUNTIF(INDIRECT("T$4:T"&amp;(ROW()-1)),"〇"),COUNTIF(INDIRECT("T$4:T"&amp;(ROW()-1)),"出"),COUNTIF(INDIRECT("T$4:T"&amp;(ROW()-1)),"早"),COUNTIF(INDIRECT("T$4:T"&amp;(ROW()-1)),"遅"),COUNTIF(INDIRECT("T$4:T"&amp;(ROW()-1)),"E"),COUNTIF(INDIRECT("T$4:T"&amp;(ROW()-1)),"8時"),COUNTIF(INDIRECT("T$4:T"&amp;(ROW()-1)),"ハヤ"),COUNTIF(INDIRECT("T$4:T"&amp;(ROW()-1)),"オソ"),COUNTIF(INDIRECT("T$4:T"&amp;(ROW()-1)),"イブ"))</f>
        <v>0</v>
      </c>
      <c r="U52" s="9">
        <f>SUM(COUNTIF(INDIRECT("U$4:U"&amp;(ROW()-1)),"○"),COUNTIF(INDIRECT("U$4:U"&amp;(ROW()-1)),"〇"),COUNTIF(INDIRECT("U$4:U"&amp;(ROW()-1)),"出"),COUNTIF(INDIRECT("U$4:U"&amp;(ROW()-1)),"早"),COUNTIF(INDIRECT("U$4:U"&amp;(ROW()-1)),"遅"),COUNTIF(INDIRECT("U$4:U"&amp;(ROW()-1)),"E"),COUNTIF(INDIRECT("U$4:U"&amp;(ROW()-1)),"8時"),COUNTIF(INDIRECT("U$4:U"&amp;(ROW()-1)),"ハヤ"),COUNTIF(INDIRECT("U$4:U"&amp;(ROW()-1)),"オソ"),COUNTIF(INDIRECT("U$4:U"&amp;(ROW()-1)),"イブ"))</f>
        <v>0</v>
      </c>
      <c r="V52" s="9">
        <f>SUM(COUNTIF(INDIRECT("V$4:V"&amp;(ROW()-1)),"○"),COUNTIF(INDIRECT("V$4:V"&amp;(ROW()-1)),"〇"),COUNTIF(INDIRECT("V$4:V"&amp;(ROW()-1)),"出"),COUNTIF(INDIRECT("V$4:V"&amp;(ROW()-1)),"早"),COUNTIF(INDIRECT("V$4:V"&amp;(ROW()-1)),"遅"),COUNTIF(INDIRECT("V$4:V"&amp;(ROW()-1)),"E"),COUNTIF(INDIRECT("V$4:V"&amp;(ROW()-1)),"8時"),COUNTIF(INDIRECT("V$4:V"&amp;(ROW()-1)),"ハヤ"),COUNTIF(INDIRECT("V$4:V"&amp;(ROW()-1)),"オソ"),COUNTIF(INDIRECT("V$4:V"&amp;(ROW()-1)),"イブ"))</f>
        <v>0</v>
      </c>
      <c r="W52" s="9">
        <f>SUM(COUNTIF(INDIRECT("W$4:W"&amp;(ROW()-1)),"○"),COUNTIF(INDIRECT("W$4:W"&amp;(ROW()-1)),"〇"),COUNTIF(INDIRECT("W$4:W"&amp;(ROW()-1)),"出"),COUNTIF(INDIRECT("W$4:W"&amp;(ROW()-1)),"早"),COUNTIF(INDIRECT("W$4:W"&amp;(ROW()-1)),"遅"),COUNTIF(INDIRECT("W$4:W"&amp;(ROW()-1)),"E"),COUNTIF(INDIRECT("W$4:W"&amp;(ROW()-1)),"8時"),COUNTIF(INDIRECT("W$4:W"&amp;(ROW()-1)),"ハヤ"),COUNTIF(INDIRECT("W$4:W"&amp;(ROW()-1)),"オソ"),COUNTIF(INDIRECT("W$4:W"&amp;(ROW()-1)),"イブ"))</f>
        <v>0</v>
      </c>
      <c r="X52" s="9">
        <f>SUM(COUNTIF(INDIRECT("X$4:X"&amp;(ROW()-1)),"○"),COUNTIF(INDIRECT("X$4:X"&amp;(ROW()-1)),"〇"),COUNTIF(INDIRECT("X$4:X"&amp;(ROW()-1)),"出"),COUNTIF(INDIRECT("X$4:X"&amp;(ROW()-1)),"早"),COUNTIF(INDIRECT("X$4:X"&amp;(ROW()-1)),"遅"),COUNTIF(INDIRECT("X$4:X"&amp;(ROW()-1)),"E"),COUNTIF(INDIRECT("X$4:X"&amp;(ROW()-1)),"8時"),COUNTIF(INDIRECT("X$4:X"&amp;(ROW()-1)),"ハヤ"),COUNTIF(INDIRECT("X$4:X"&amp;(ROW()-1)),"オソ"),COUNTIF(INDIRECT("X$4:X"&amp;(ROW()-1)),"イブ"))</f>
        <v>0</v>
      </c>
      <c r="Y52" s="9">
        <f>SUM(COUNTIF(INDIRECT("Y$4:Y"&amp;(ROW()-1)),"○"),COUNTIF(INDIRECT("Y$4:Y"&amp;(ROW()-1)),"〇"),COUNTIF(INDIRECT("Y$4:Y"&amp;(ROW()-1)),"出"),COUNTIF(INDIRECT("Y$4:Y"&amp;(ROW()-1)),"早"),COUNTIF(INDIRECT("Y$4:Y"&amp;(ROW()-1)),"遅"),COUNTIF(INDIRECT("Y$4:Y"&amp;(ROW()-1)),"E"),COUNTIF(INDIRECT("Y$4:Y"&amp;(ROW()-1)),"8時"),COUNTIF(INDIRECT("Y$4:Y"&amp;(ROW()-1)),"ハヤ"),COUNTIF(INDIRECT("Y$4:Y"&amp;(ROW()-1)),"オソ"),COUNTIF(INDIRECT("Y$4:Y"&amp;(ROW()-1)),"イブ"))</f>
        <v>0</v>
      </c>
      <c r="Z52" s="9">
        <f>SUM(COUNTIF(INDIRECT("Z$4:Z"&amp;(ROW()-1)),"○"),COUNTIF(INDIRECT("Z$4:Z"&amp;(ROW()-1)),"〇"),COUNTIF(INDIRECT("Z$4:Z"&amp;(ROW()-1)),"出"),COUNTIF(INDIRECT("Z$4:Z"&amp;(ROW()-1)),"早"),COUNTIF(INDIRECT("Z$4:Z"&amp;(ROW()-1)),"遅"),COUNTIF(INDIRECT("Z$4:Z"&amp;(ROW()-1)),"E"),COUNTIF(INDIRECT("Z$4:Z"&amp;(ROW()-1)),"8時"),COUNTIF(INDIRECT("Z$4:Z"&amp;(ROW()-1)),"ハヤ"),COUNTIF(INDIRECT("Z$4:Z"&amp;(ROW()-1)),"オソ"),COUNTIF(INDIRECT("Z$4:Z"&amp;(ROW()-1)),"イブ"))</f>
        <v>0</v>
      </c>
      <c r="AA52" s="9">
        <f>SUM(COUNTIF(INDIRECT("AA$4:AA"&amp;(ROW()-1)),"○"),COUNTIF(INDIRECT("AA$4:AA"&amp;(ROW()-1)),"〇"),COUNTIF(INDIRECT("AA$4:AA"&amp;(ROW()-1)),"出"),COUNTIF(INDIRECT("AA$4:AA"&amp;(ROW()-1)),"早"),COUNTIF(INDIRECT("AA$4:AA"&amp;(ROW()-1)),"遅"),COUNTIF(INDIRECT("AA$4:AA"&amp;(ROW()-1)),"E"),COUNTIF(INDIRECT("AA$4:AA"&amp;(ROW()-1)),"8時"),COUNTIF(INDIRECT("AA$4:AA"&amp;(ROW()-1)),"ハヤ"),COUNTIF(INDIRECT("AA$4:AA"&amp;(ROW()-1)),"オソ"),COUNTIF(INDIRECT("AA$4:AA"&amp;(ROW()-1)),"イブ"))</f>
        <v>0</v>
      </c>
      <c r="AB52" s="9">
        <f>SUM(COUNTIF(INDIRECT("AB$4:AB"&amp;(ROW()-1)),"○"),COUNTIF(INDIRECT("AB$4:AB"&amp;(ROW()-1)),"〇"),COUNTIF(INDIRECT("AB$4:AB"&amp;(ROW()-1)),"出"),COUNTIF(INDIRECT("AB$4:AB"&amp;(ROW()-1)),"早"),COUNTIF(INDIRECT("AB$4:AB"&amp;(ROW()-1)),"遅"),COUNTIF(INDIRECT("AB$4:AB"&amp;(ROW()-1)),"E"),COUNTIF(INDIRECT("AB$4:AB"&amp;(ROW()-1)),"8時"),COUNTIF(INDIRECT("AB$4:AB"&amp;(ROW()-1)),"ハヤ"),COUNTIF(INDIRECT("AB$4:AB"&amp;(ROW()-1)),"オソ"),COUNTIF(INDIRECT("AB$4:AB"&amp;(ROW()-1)),"イブ"))</f>
        <v>0</v>
      </c>
      <c r="AC52" s="9">
        <f>SUM(COUNTIF(INDIRECT("AC$4:AC"&amp;(ROW()-1)),"○"),COUNTIF(INDIRECT("AC$4:AC"&amp;(ROW()-1)),"〇"),COUNTIF(INDIRECT("AC$4:AC"&amp;(ROW()-1)),"出"),COUNTIF(INDIRECT("AC$4:AC"&amp;(ROW()-1)),"早"),COUNTIF(INDIRECT("AC$4:AC"&amp;(ROW()-1)),"遅"),COUNTIF(INDIRECT("AC$4:AC"&amp;(ROW()-1)),"E"),COUNTIF(INDIRECT("AC$4:AC"&amp;(ROW()-1)),"8時"),COUNTIF(INDIRECT("AC$4:AC"&amp;(ROW()-1)),"ハヤ"),COUNTIF(INDIRECT("AC$4:AC"&amp;(ROW()-1)),"オソ"),COUNTIF(INDIRECT("AC$4:AC"&amp;(ROW()-1)),"イブ"))</f>
        <v>0</v>
      </c>
      <c r="AD52" s="9">
        <f>SUM(INDIRECT("AD$4:AD"&amp;(ROW()-1)))</f>
        <v>0</v>
      </c>
      <c r="AE52" s="9">
        <f>SUM(INDIRECT("AE$4:AE"&amp;(ROW()-1)))</f>
        <v>0</v>
      </c>
      <c r="AF52" s="9">
        <f>SUM(INDIRECT("AF$4:AF"&amp;(ROW()-1)))</f>
        <v>0</v>
      </c>
      <c r="AG52" s="9">
        <f>SUM(INDIRECT("AG$4:AG"&amp;(ROW()-1)))</f>
        <v>0</v>
      </c>
      <c r="AH52" s="13">
        <f>SUM(INDIRECT("AH$4:AH"&amp;(ROW()-1)))</f>
        <v>0</v>
      </c>
      <c r="AI52" s="13">
        <f>SUM(INDIRECT("AI$4:AI"&amp;(ROW()-1)))</f>
        <v>0</v>
      </c>
      <c r="AJ52" s="13">
        <f>SUM(INDIRECT("AJ$4:AJ"&amp;(ROW()-1)))</f>
        <v>0</v>
      </c>
      <c r="AK52" s="13">
        <f>SUM(INDIRECT("AK$4:AK"&amp;(ROW()-1)))</f>
        <v>0</v>
      </c>
    </row>
  </sheetData>
  <pageMargins left="0.25" right="0.25" top="0.3" bottom="0.3" header="0.2" footer="0.2"/>
  <pageSetup paperSize="8" orientation="landscape" fitToWidth="1" fitToHeight="1"/>
</worksheet>
</file>