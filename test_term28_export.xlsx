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4月1日～4月28日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15803D"/>
    </font>
    <font>
      <b/>
      <sz val="9"/>
      <name val="Meiryo"/>
      <color rgb="7C3AED"/>
    </font>
    <font>
      <sz val="9"/>
      <name val="Meiryo"/>
      <color rgb="64748B"/>
    </font>
  </fonts>
  <fills count="7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FF6FF"/>
      </patternFill>
    </fill>
    <fill>
      <patternFill patternType="solid">
        <fgColor rgb="FEF2F2"/>
      </patternFill>
    </fill>
    <fill>
      <patternFill patternType="solid">
        <fgColor rgb="F8FAFC"/>
      </patternFill>
    </fill>
    <fill>
      <patternFill patternType="solid">
        <fgColor rgb="F0FDF4"/>
      </patternFill>
    </fill>
  </fills>
  <borders count="4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  <border>
      <left style="thin">
        <color rgb="CBD5E1"/>
      </left>
      <right style="medium">
        <color rgb="64748B"/>
      </right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>
      <alignment horizontal="left" vertical="center"/>
    </xf>
    <xf numFmtId="0" fontId="1" fillId="2" borderId="1" xfId="0" applyFont="1" applyFill="1" applyBorder="1">
      <alignment horizontal="center" vertical="center"/>
    </xf>
    <xf numFmtId="0" fontId="5" fillId="3" borderId="1" xfId="0" applyFont="1" applyFill="1" applyBorder="1">
      <alignment horizontal="center" vertical="center"/>
    </xf>
    <xf numFmtId="0" fontId="2" fillId="4" borderId="1" xfId="0" applyFont="1" applyFill="1" applyBorder="1">
      <alignment horizontal="center" vertical="center"/>
    </xf>
    <xf numFmtId="0" fontId="0" fillId="0" borderId="1" xfId="0" applyBorder="1">
      <alignment horizontal="left" vertical="center"/>
    </xf>
    <xf numFmtId="0" fontId="0" fillId="0" borderId="1" xfId="0" applyBorder="1">
      <alignment horizontal="center" vertical="center"/>
    </xf>
    <xf numFmtId="0" fontId="2" fillId="0" borderId="1" xfId="0" applyFont="1" applyBorder="1">
      <alignment horizontal="center" vertical="center"/>
    </xf>
    <xf numFmtId="0" fontId="1" fillId="5" borderId="1" xfId="0" applyFont="1" applyFill="1" applyBorder="1">
      <alignment horizontal="center" vertical="center"/>
    </xf>
    <xf numFmtId="0" fontId="1" fillId="2" borderId="1" xfId="0" applyFont="1" applyFill="1" applyBorder="1">
      <alignment horizontal="center" vertical="center"/>
    </xf>
    <xf numFmtId="0" fontId="4" fillId="0" borderId="1" xfId="0" applyFont="1" applyBorder="1">
      <alignment horizontal="center" vertical="center"/>
    </xf>
    <xf numFmtId="0" fontId="5" fillId="0" borderId="1" xfId="0" applyFont="1" applyBorder="1">
      <alignment horizontal="center" vertical="center"/>
    </xf>
    <xf numFmtId="0" fontId="6" fillId="0" borderId="1" xfId="0" applyFont="1" applyBorder="1">
      <alignment horizontal="center" vertical="center"/>
    </xf>
    <xf numFmtId="0" fontId="1" fillId="0" borderId="1" xfId="0" applyFont="1" applyBorder="1">
      <alignment horizontal="center" vertical="center"/>
    </xf>
    <xf numFmtId="0" fontId="9" fillId="0" borderId="1" xfId="0" applyFont="1" applyBorder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xSplit="1" topLeftCell="B4" activePane="bottomRight" state="frozen"/>
    </sheetView>
  </sheetViews>
  <sheetFormatPr defaultRowHeight="18" customHeight="1"/>
  <cols>
    <col min="1" max="1" width="16" customWidth="1"/>
    <col min="2" max="2" width="4.2" customWidth="1"/>
    <col min="3" max="3" width="4.2" customWidth="1"/>
    <col min="4" max="4" width="4.2" customWidth="1"/>
    <col min="5" max="5" width="4.2" customWidth="1"/>
    <col min="6" max="6" width="4.2" customWidth="1"/>
    <col min="7" max="7" width="4.2" customWidth="1"/>
    <col min="8" max="8" width="4.2" customWidth="1"/>
    <col min="9" max="9" width="4.2" customWidth="1"/>
    <col min="10" max="10" width="4.2" customWidth="1"/>
    <col min="11" max="11" width="4.2" customWidth="1"/>
    <col min="12" max="12" width="4.2" customWidth="1"/>
    <col min="13" max="13" width="4.2" customWidth="1"/>
    <col min="14" max="14" width="4.2" customWidth="1"/>
    <col min="15" max="15" width="4.2" customWidth="1"/>
    <col min="16" max="16" width="4.2" customWidth="1"/>
    <col min="17" max="17" width="4.2" customWidth="1"/>
    <col min="18" max="18" width="4.2" customWidth="1"/>
    <col min="19" max="19" width="4.2" customWidth="1"/>
    <col min="20" max="20" width="4.2" customWidth="1"/>
    <col min="21" max="21" width="4.2" customWidth="1"/>
    <col min="22" max="22" width="4.2" customWidth="1"/>
    <col min="23" max="23" width="4.2" customWidth="1"/>
    <col min="24" max="24" width="4.2" customWidth="1"/>
    <col min="25" max="25" width="4.2" customWidth="1"/>
    <col min="26" max="26" width="4.2" customWidth="1"/>
    <col min="27" max="27" width="4.2" customWidth="1"/>
    <col min="28" max="28" width="4.2" customWidth="1"/>
    <col min="29" max="29" width="4.2" customWidth="1"/>
    <col min="30" max="30" width="5.5" customWidth="1"/>
    <col min="31" max="31" width="5.5" customWidth="1"/>
    <col min="32" max="32" width="5.5" customWidth="1"/>
    <col min="33" max="33" width="5.5" customWidth="1"/>
    <col min="34" max="34" width="5.5" customWidth="1"/>
    <col min="35" max="35" width="5.5" customWidth="1"/>
    <col min="36" max="36" width="5.5" customWidth="1"/>
    <col min="37" max="37" width="5.5" customWidth="1"/>
    <col min="38" max="38" width="162" customWidth="1"/>
  </cols>
  <sheetData>
    <row r="1" ht="28" customHeight="1">
      <c r="A1" s="1" t="inlineStr">
        <is>
          <t>4月1日～4月28日 勤務表</t>
        </is>
      </c>
      <c r="AD1" s="2" t="inlineStr">
        <is>
          <t>勤務・休暇 集計</t>
        </is>
      </c>
    </row>
    <row r="2" ht="24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  <c r="AL2" s="2" t="inlineStr">
        <is>
          <t>備考（メモ）</t>
        </is>
      </c>
    </row>
    <row r="3" ht="20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2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2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2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2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  <c r="AL3" s="2"/>
    </row>
    <row r="4" ht="24.75" customHeight="1">
      <c r="A4" s="5" t="inlineStr">
        <is>
          <t>スタッフ 01</t>
        </is>
      </c>
      <c r="B4" s="6" t="inlineStr">
        <is>
          <t>休</t>
        </is>
      </c>
      <c r="C4" s="7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休</t>
        </is>
      </c>
      <c r="I4" s="6" t="inlineStr">
        <is>
          <t>休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休</t>
        </is>
      </c>
      <c r="P4" s="6" t="inlineStr">
        <is>
          <t>休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休</t>
        </is>
      </c>
      <c r="W4" s="6" t="inlineStr">
        <is>
          <t>休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休</t>
        </is>
      </c>
      <c r="AD4" s="8">
        <f>COUNTIF(B4:AC4,"○")+COUNTIF(B4:AC4,"〇")+COUNTIF(B4:AC4,"出")+COUNTIF(B4:AC4,"早")+COUNTIF(B4:AC4,"遅")+COUNTIF(B4:AC4,"E")+COUNTIF(B4:AC4,"8時")+COUNTIF(B4:AC4,"ハヤ")+COUNTIF(B4:AC4,"オソ")+COUNTIF(B4:AC4,"イブ")+0.5*(COUNTIF(B4:AC4,"○/休")+COUNTIF(B4:AC4,"〇/休")+COUNTIF(B4:AC4,"休/○")+COUNTIF(B4:AC4,"休/〇")+COUNTIF(B4:AC4,"○/有")+COUNTIF(B4:AC4,"〇/有")+COUNTIF(B4:AC4,"有/○")+COUNTIF(B4:AC4,"有/〇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8">
        <f>COUNTIF(B4:AC4,"早")+COUNTIF(B4:AC4,"ハヤ")</f>
        <v>0</v>
      </c>
      <c r="AI4" s="8">
        <f>COUNTIF(B4:AC4,"遅")+COUNTIF(B4:AC4,"オソ")</f>
        <v>0</v>
      </c>
      <c r="AJ4" s="8">
        <f>COUNTIF(B4:AC4,"E")+COUNTIF(B4:AC4,"イブ")</f>
        <v>0</v>
      </c>
      <c r="AK4" s="8">
        <f>COUNTIF(B4:AC4,"8時")</f>
        <v>0</v>
      </c>
      <c r="AL4" s="14" t="inlineStr">
        <is>
          <t>安全衛生委員会</t>
        </is>
      </c>
    </row>
    <row r="5" ht="24.75" customHeight="1">
      <c r="A5" s="5" t="inlineStr">
        <is>
          <t>スタッフ 02</t>
        </is>
      </c>
      <c r="B5" s="6" t="inlineStr">
        <is>
          <t>休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休</t>
        </is>
      </c>
      <c r="I5" s="6" t="inlineStr">
        <is>
          <t>休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休</t>
        </is>
      </c>
      <c r="P5" s="6" t="inlineStr">
        <is>
          <t>休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休</t>
        </is>
      </c>
      <c r="W5" s="6" t="inlineStr">
        <is>
          <t>休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休</t>
        </is>
      </c>
      <c r="AD5" s="8">
        <f>COUNTIF(B5:AC5,"○")+COUNTIF(B5:AC5,"〇")+COUNTIF(B5:AC5,"出")+COUNTIF(B5:AC5,"早")+COUNTIF(B5:AC5,"遅")+COUNTIF(B5:AC5,"E")+COUNTIF(B5:AC5,"8時")+COUNTIF(B5:AC5,"ハヤ")+COUNTIF(B5:AC5,"オソ")+COUNTIF(B5:AC5,"イブ")+0.5*(COUNTIF(B5:AC5,"○/休")+COUNTIF(B5:AC5,"〇/休")+COUNTIF(B5:AC5,"休/○")+COUNTIF(B5:AC5,"休/〇")+COUNTIF(B5:AC5,"○/有")+COUNTIF(B5:AC5,"〇/有")+COUNTIF(B5:AC5,"有/○")+COUNTIF(B5:AC5,"有/〇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8">
        <f>COUNTIF(B5:AC5,"早")+COUNTIF(B5:AC5,"ハヤ")</f>
        <v>0</v>
      </c>
      <c r="AI5" s="8">
        <f>COUNTIF(B5:AC5,"遅")+COUNTIF(B5:AC5,"オソ")</f>
        <v>0</v>
      </c>
      <c r="AJ5" s="8">
        <f>COUNTIF(B5:AC5,"E")+COUNTIF(B5:AC5,"イブ")</f>
        <v>0</v>
      </c>
      <c r="AK5" s="8">
        <f>COUNTIF(B5:AC5,"8時")</f>
        <v>0</v>
      </c>
      <c r="AL5" s="14" t="inlineStr">
        <is>
          <t/>
        </is>
      </c>
    </row>
    <row r="6" ht="24.75" customHeight="1">
      <c r="A6" s="5" t="inlineStr">
        <is>
          <t>スタッフ 03</t>
        </is>
      </c>
      <c r="B6" s="6" t="inlineStr">
        <is>
          <t>休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休</t>
        </is>
      </c>
      <c r="I6" s="6" t="inlineStr">
        <is>
          <t>休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休</t>
        </is>
      </c>
      <c r="P6" s="6" t="inlineStr">
        <is>
          <t>休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休</t>
        </is>
      </c>
      <c r="W6" s="6" t="inlineStr">
        <is>
          <t>休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休</t>
        </is>
      </c>
      <c r="AD6" s="8">
        <f>COUNTIF(B6:AC6,"○")+COUNTIF(B6:AC6,"〇")+COUNTIF(B6:AC6,"出")+COUNTIF(B6:AC6,"早")+COUNTIF(B6:AC6,"遅")+COUNTIF(B6:AC6,"E")+COUNTIF(B6:AC6,"8時")+COUNTIF(B6:AC6,"ハヤ")+COUNTIF(B6:AC6,"オソ")+COUNTIF(B6:AC6,"イブ")+0.5*(COUNTIF(B6:AC6,"○/休")+COUNTIF(B6:AC6,"〇/休")+COUNTIF(B6:AC6,"休/○")+COUNTIF(B6:AC6,"休/〇")+COUNTIF(B6:AC6,"○/有")+COUNTIF(B6:AC6,"〇/有")+COUNTIF(B6:AC6,"有/○")+COUNTIF(B6:AC6,"有/〇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8">
        <f>COUNTIF(B6:AC6,"早")+COUNTIF(B6:AC6,"ハヤ")</f>
        <v>0</v>
      </c>
      <c r="AI6" s="8">
        <f>COUNTIF(B6:AC6,"遅")+COUNTIF(B6:AC6,"オソ")</f>
        <v>0</v>
      </c>
      <c r="AJ6" s="8">
        <f>COUNTIF(B6:AC6,"E")+COUNTIF(B6:AC6,"イブ")</f>
        <v>0</v>
      </c>
      <c r="AK6" s="8">
        <f>COUNTIF(B6:AC6,"8時")</f>
        <v>0</v>
      </c>
      <c r="AL6" s="14" t="inlineStr">
        <is>
          <t/>
        </is>
      </c>
    </row>
    <row r="7" ht="24.75" customHeight="1">
      <c r="A7" s="5" t="inlineStr">
        <is>
          <t>スタッフ 04</t>
        </is>
      </c>
      <c r="B7" s="6" t="inlineStr">
        <is>
          <t>休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休</t>
        </is>
      </c>
      <c r="I7" s="6" t="inlineStr">
        <is>
          <t>休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休</t>
        </is>
      </c>
      <c r="P7" s="6" t="inlineStr">
        <is>
          <t>休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休</t>
        </is>
      </c>
      <c r="W7" s="6" t="inlineStr">
        <is>
          <t>休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休</t>
        </is>
      </c>
      <c r="AD7" s="8">
        <f>COUNTIF(B7:AC7,"○")+COUNTIF(B7:AC7,"〇")+COUNTIF(B7:AC7,"出")+COUNTIF(B7:AC7,"早")+COUNTIF(B7:AC7,"遅")+COUNTIF(B7:AC7,"E")+COUNTIF(B7:AC7,"8時")+COUNTIF(B7:AC7,"ハヤ")+COUNTIF(B7:AC7,"オソ")+COUNTIF(B7:AC7,"イブ")+0.5*(COUNTIF(B7:AC7,"○/休")+COUNTIF(B7:AC7,"〇/休")+COUNTIF(B7:AC7,"休/○")+COUNTIF(B7:AC7,"休/〇")+COUNTIF(B7:AC7,"○/有")+COUNTIF(B7:AC7,"〇/有")+COUNTIF(B7:AC7,"有/○")+COUNTIF(B7:AC7,"有/〇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8">
        <f>COUNTIF(B7:AC7,"早")+COUNTIF(B7:AC7,"ハヤ")</f>
        <v>0</v>
      </c>
      <c r="AI7" s="8">
        <f>COUNTIF(B7:AC7,"遅")+COUNTIF(B7:AC7,"オソ")</f>
        <v>0</v>
      </c>
      <c r="AJ7" s="8">
        <f>COUNTIF(B7:AC7,"E")+COUNTIF(B7:AC7,"イブ")</f>
        <v>0</v>
      </c>
      <c r="AK7" s="8">
        <f>COUNTIF(B7:AC7,"8時")</f>
        <v>0</v>
      </c>
      <c r="AL7" s="14" t="inlineStr">
        <is>
          <t/>
        </is>
      </c>
    </row>
    <row r="8" ht="24.75" customHeight="1">
      <c r="A8" s="5" t="inlineStr">
        <is>
          <t>スタッフ 05</t>
        </is>
      </c>
      <c r="B8" s="6" t="inlineStr">
        <is>
          <t>休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休</t>
        </is>
      </c>
      <c r="I8" s="6" t="inlineStr">
        <is>
          <t>休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休</t>
        </is>
      </c>
      <c r="P8" s="6" t="inlineStr">
        <is>
          <t>休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休</t>
        </is>
      </c>
      <c r="W8" s="6" t="inlineStr">
        <is>
          <t>休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休</t>
        </is>
      </c>
      <c r="AD8" s="8">
        <f>COUNTIF(B8:AC8,"○")+COUNTIF(B8:AC8,"〇")+COUNTIF(B8:AC8,"出")+COUNTIF(B8:AC8,"早")+COUNTIF(B8:AC8,"遅")+COUNTIF(B8:AC8,"E")+COUNTIF(B8:AC8,"8時")+COUNTIF(B8:AC8,"ハヤ")+COUNTIF(B8:AC8,"オソ")+COUNTIF(B8:AC8,"イブ")+0.5*(COUNTIF(B8:AC8,"○/休")+COUNTIF(B8:AC8,"〇/休")+COUNTIF(B8:AC8,"休/○")+COUNTIF(B8:AC8,"休/〇")+COUNTIF(B8:AC8,"○/有")+COUNTIF(B8:AC8,"〇/有")+COUNTIF(B8:AC8,"有/○")+COUNTIF(B8:AC8,"有/〇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8">
        <f>COUNTIF(B8:AC8,"早")+COUNTIF(B8:AC8,"ハヤ")</f>
        <v>0</v>
      </c>
      <c r="AI8" s="8">
        <f>COUNTIF(B8:AC8,"遅")+COUNTIF(B8:AC8,"オソ")</f>
        <v>0</v>
      </c>
      <c r="AJ8" s="8">
        <f>COUNTIF(B8:AC8,"E")+COUNTIF(B8:AC8,"イブ")</f>
        <v>0</v>
      </c>
      <c r="AK8" s="8">
        <f>COUNTIF(B8:AC8,"8時")</f>
        <v>0</v>
      </c>
      <c r="AL8" s="14" t="inlineStr">
        <is>
          <t/>
        </is>
      </c>
    </row>
    <row r="9" ht="24.75" customHeight="1">
      <c r="A9" s="5" t="inlineStr">
        <is>
          <t>スタッフ 06</t>
        </is>
      </c>
      <c r="B9" s="6" t="inlineStr">
        <is>
          <t>休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休</t>
        </is>
      </c>
      <c r="I9" s="6" t="inlineStr">
        <is>
          <t>休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休</t>
        </is>
      </c>
      <c r="P9" s="6" t="inlineStr">
        <is>
          <t>休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休</t>
        </is>
      </c>
      <c r="W9" s="6" t="inlineStr">
        <is>
          <t>休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休</t>
        </is>
      </c>
      <c r="AD9" s="8">
        <f>COUNTIF(B9:AC9,"○")+COUNTIF(B9:AC9,"〇")+COUNTIF(B9:AC9,"出")+COUNTIF(B9:AC9,"早")+COUNTIF(B9:AC9,"遅")+COUNTIF(B9:AC9,"E")+COUNTIF(B9:AC9,"8時")+COUNTIF(B9:AC9,"ハヤ")+COUNTIF(B9:AC9,"オソ")+COUNTIF(B9:AC9,"イブ")+0.5*(COUNTIF(B9:AC9,"○/休")+COUNTIF(B9:AC9,"〇/休")+COUNTIF(B9:AC9,"休/○")+COUNTIF(B9:AC9,"休/〇")+COUNTIF(B9:AC9,"○/有")+COUNTIF(B9:AC9,"〇/有")+COUNTIF(B9:AC9,"有/○")+COUNTIF(B9:AC9,"有/〇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8">
        <f>COUNTIF(B9:AC9,"早")+COUNTIF(B9:AC9,"ハヤ")</f>
        <v>0</v>
      </c>
      <c r="AI9" s="8">
        <f>COUNTIF(B9:AC9,"遅")+COUNTIF(B9:AC9,"オソ")</f>
        <v>0</v>
      </c>
      <c r="AJ9" s="8">
        <f>COUNTIF(B9:AC9,"E")+COUNTIF(B9:AC9,"イブ")</f>
        <v>0</v>
      </c>
      <c r="AK9" s="8">
        <f>COUNTIF(B9:AC9,"8時")</f>
        <v>0</v>
      </c>
      <c r="AL9" s="14" t="inlineStr">
        <is>
          <t/>
        </is>
      </c>
    </row>
    <row r="10" ht="24.75" customHeight="1">
      <c r="A10" s="5" t="inlineStr">
        <is>
          <t>スタッフ 07</t>
        </is>
      </c>
      <c r="B10" s="6" t="inlineStr">
        <is>
          <t>休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休</t>
        </is>
      </c>
      <c r="I10" s="6" t="inlineStr">
        <is>
          <t>休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休</t>
        </is>
      </c>
      <c r="P10" s="6" t="inlineStr">
        <is>
          <t>休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休</t>
        </is>
      </c>
      <c r="W10" s="6" t="inlineStr">
        <is>
          <t>休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休</t>
        </is>
      </c>
      <c r="AD10" s="8">
        <f>COUNTIF(B10:AC10,"○")+COUNTIF(B10:AC10,"〇")+COUNTIF(B10:AC10,"出")+COUNTIF(B10:AC10,"早")+COUNTIF(B10:AC10,"遅")+COUNTIF(B10:AC10,"E")+COUNTIF(B10:AC10,"8時")+COUNTIF(B10:AC10,"ハヤ")+COUNTIF(B10:AC10,"オソ")+COUNTIF(B10:AC10,"イブ")+0.5*(COUNTIF(B10:AC10,"○/休")+COUNTIF(B10:AC10,"〇/休")+COUNTIF(B10:AC10,"休/○")+COUNTIF(B10:AC10,"休/〇")+COUNTIF(B10:AC10,"○/有")+COUNTIF(B10:AC10,"〇/有")+COUNTIF(B10:AC10,"有/○")+COUNTIF(B10:AC10,"有/〇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8">
        <f>COUNTIF(B10:AC10,"早")+COUNTIF(B10:AC10,"ハヤ")</f>
        <v>0</v>
      </c>
      <c r="AI10" s="8">
        <f>COUNTIF(B10:AC10,"遅")+COUNTIF(B10:AC10,"オソ")</f>
        <v>0</v>
      </c>
      <c r="AJ10" s="8">
        <f>COUNTIF(B10:AC10,"E")+COUNTIF(B10:AC10,"イブ")</f>
        <v>0</v>
      </c>
      <c r="AK10" s="8">
        <f>COUNTIF(B10:AC10,"8時")</f>
        <v>0</v>
      </c>
      <c r="AL10" s="14" t="inlineStr">
        <is>
          <t/>
        </is>
      </c>
    </row>
    <row r="11" ht="24.75" customHeight="1">
      <c r="A11" s="5" t="inlineStr">
        <is>
          <t>スタッフ 08</t>
        </is>
      </c>
      <c r="B11" s="6" t="inlineStr">
        <is>
          <t>休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休</t>
        </is>
      </c>
      <c r="I11" s="6" t="inlineStr">
        <is>
          <t>休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休</t>
        </is>
      </c>
      <c r="P11" s="6" t="inlineStr">
        <is>
          <t>休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休</t>
        </is>
      </c>
      <c r="W11" s="6" t="inlineStr">
        <is>
          <t>休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休</t>
        </is>
      </c>
      <c r="AD11" s="8">
        <f>COUNTIF(B11:AC11,"○")+COUNTIF(B11:AC11,"〇")+COUNTIF(B11:AC11,"出")+COUNTIF(B11:AC11,"早")+COUNTIF(B11:AC11,"遅")+COUNTIF(B11:AC11,"E")+COUNTIF(B11:AC11,"8時")+COUNTIF(B11:AC11,"ハヤ")+COUNTIF(B11:AC11,"オソ")+COUNTIF(B11:AC11,"イブ")+0.5*(COUNTIF(B11:AC11,"○/休")+COUNTIF(B11:AC11,"〇/休")+COUNTIF(B11:AC11,"休/○")+COUNTIF(B11:AC11,"休/〇")+COUNTIF(B11:AC11,"○/有")+COUNTIF(B11:AC11,"〇/有")+COUNTIF(B11:AC11,"有/○")+COUNTIF(B11:AC11,"有/〇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8">
        <f>COUNTIF(B11:AC11,"早")+COUNTIF(B11:AC11,"ハヤ")</f>
        <v>0</v>
      </c>
      <c r="AI11" s="8">
        <f>COUNTIF(B11:AC11,"遅")+COUNTIF(B11:AC11,"オソ")</f>
        <v>0</v>
      </c>
      <c r="AJ11" s="8">
        <f>COUNTIF(B11:AC11,"E")+COUNTIF(B11:AC11,"イブ")</f>
        <v>0</v>
      </c>
      <c r="AK11" s="8">
        <f>COUNTIF(B11:AC11,"8時")</f>
        <v>0</v>
      </c>
      <c r="AL11" s="14" t="inlineStr">
        <is>
          <t/>
        </is>
      </c>
    </row>
    <row r="12" ht="24.75" customHeight="1">
      <c r="A12" s="5" t="inlineStr">
        <is>
          <t>スタッフ 09</t>
        </is>
      </c>
      <c r="B12" s="6" t="inlineStr">
        <is>
          <t>休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休</t>
        </is>
      </c>
      <c r="I12" s="6" t="inlineStr">
        <is>
          <t>休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休</t>
        </is>
      </c>
      <c r="P12" s="6" t="inlineStr">
        <is>
          <t>休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休</t>
        </is>
      </c>
      <c r="W12" s="6" t="inlineStr">
        <is>
          <t>休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休</t>
        </is>
      </c>
      <c r="AD12" s="8">
        <f>COUNTIF(B12:AC12,"○")+COUNTIF(B12:AC12,"〇")+COUNTIF(B12:AC12,"出")+COUNTIF(B12:AC12,"早")+COUNTIF(B12:AC12,"遅")+COUNTIF(B12:AC12,"E")+COUNTIF(B12:AC12,"8時")+COUNTIF(B12:AC12,"ハヤ")+COUNTIF(B12:AC12,"オソ")+COUNTIF(B12:AC12,"イブ")+0.5*(COUNTIF(B12:AC12,"○/休")+COUNTIF(B12:AC12,"〇/休")+COUNTIF(B12:AC12,"休/○")+COUNTIF(B12:AC12,"休/〇")+COUNTIF(B12:AC12,"○/有")+COUNTIF(B12:AC12,"〇/有")+COUNTIF(B12:AC12,"有/○")+COUNTIF(B12:AC12,"有/〇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8">
        <f>COUNTIF(B12:AC12,"早")+COUNTIF(B12:AC12,"ハヤ")</f>
        <v>0</v>
      </c>
      <c r="AI12" s="8">
        <f>COUNTIF(B12:AC12,"遅")+COUNTIF(B12:AC12,"オソ")</f>
        <v>0</v>
      </c>
      <c r="AJ12" s="8">
        <f>COUNTIF(B12:AC12,"E")+COUNTIF(B12:AC12,"イブ")</f>
        <v>0</v>
      </c>
      <c r="AK12" s="8">
        <f>COUNTIF(B12:AC12,"8時")</f>
        <v>0</v>
      </c>
      <c r="AL12" s="14" t="inlineStr">
        <is>
          <t/>
        </is>
      </c>
    </row>
    <row r="13" ht="24.75" customHeight="1">
      <c r="A13" s="5" t="inlineStr">
        <is>
          <t>スタッフ 10</t>
        </is>
      </c>
      <c r="B13" s="6" t="inlineStr">
        <is>
          <t>休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休</t>
        </is>
      </c>
      <c r="I13" s="6" t="inlineStr">
        <is>
          <t>休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休</t>
        </is>
      </c>
      <c r="P13" s="6" t="inlineStr">
        <is>
          <t>休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休</t>
        </is>
      </c>
      <c r="W13" s="6" t="inlineStr">
        <is>
          <t>休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休</t>
        </is>
      </c>
      <c r="AD13" s="8">
        <f>COUNTIF(B13:AC13,"○")+COUNTIF(B13:AC13,"〇")+COUNTIF(B13:AC13,"出")+COUNTIF(B13:AC13,"早")+COUNTIF(B13:AC13,"遅")+COUNTIF(B13:AC13,"E")+COUNTIF(B13:AC13,"8時")+COUNTIF(B13:AC13,"ハヤ")+COUNTIF(B13:AC13,"オソ")+COUNTIF(B13:AC13,"イブ")+0.5*(COUNTIF(B13:AC13,"○/休")+COUNTIF(B13:AC13,"〇/休")+COUNTIF(B13:AC13,"休/○")+COUNTIF(B13:AC13,"休/〇")+COUNTIF(B13:AC13,"○/有")+COUNTIF(B13:AC13,"〇/有")+COUNTIF(B13:AC13,"有/○")+COUNTIF(B13:AC13,"有/〇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8">
        <f>COUNTIF(B13:AC13,"早")+COUNTIF(B13:AC13,"ハヤ")</f>
        <v>0</v>
      </c>
      <c r="AI13" s="8">
        <f>COUNTIF(B13:AC13,"遅")+COUNTIF(B13:AC13,"オソ")</f>
        <v>0</v>
      </c>
      <c r="AJ13" s="8">
        <f>COUNTIF(B13:AC13,"E")+COUNTIF(B13:AC13,"イブ")</f>
        <v>0</v>
      </c>
      <c r="AK13" s="8">
        <f>COUNTIF(B13:AC13,"8時")</f>
        <v>0</v>
      </c>
      <c r="AL13" s="14" t="inlineStr">
        <is>
          <t/>
        </is>
      </c>
    </row>
    <row r="14" ht="24.75" customHeight="1">
      <c r="A14" s="5" t="inlineStr">
        <is>
          <t>スタッフ 11</t>
        </is>
      </c>
      <c r="B14" s="6" t="inlineStr">
        <is>
          <t>休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休</t>
        </is>
      </c>
      <c r="I14" s="6" t="inlineStr">
        <is>
          <t>休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休</t>
        </is>
      </c>
      <c r="P14" s="6" t="inlineStr">
        <is>
          <t>休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休</t>
        </is>
      </c>
      <c r="W14" s="6" t="inlineStr">
        <is>
          <t>休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休</t>
        </is>
      </c>
      <c r="AD14" s="8">
        <f>COUNTIF(B14:AC14,"○")+COUNTIF(B14:AC14,"〇")+COUNTIF(B14:AC14,"出")+COUNTIF(B14:AC14,"早")+COUNTIF(B14:AC14,"遅")+COUNTIF(B14:AC14,"E")+COUNTIF(B14:AC14,"8時")+COUNTIF(B14:AC14,"ハヤ")+COUNTIF(B14:AC14,"オソ")+COUNTIF(B14:AC14,"イブ")+0.5*(COUNTIF(B14:AC14,"○/休")+COUNTIF(B14:AC14,"〇/休")+COUNTIF(B14:AC14,"休/○")+COUNTIF(B14:AC14,"休/〇")+COUNTIF(B14:AC14,"○/有")+COUNTIF(B14:AC14,"〇/有")+COUNTIF(B14:AC14,"有/○")+COUNTIF(B14:AC14,"有/〇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8">
        <f>COUNTIF(B14:AC14,"早")+COUNTIF(B14:AC14,"ハヤ")</f>
        <v>0</v>
      </c>
      <c r="AI14" s="8">
        <f>COUNTIF(B14:AC14,"遅")+COUNTIF(B14:AC14,"オソ")</f>
        <v>0</v>
      </c>
      <c r="AJ14" s="8">
        <f>COUNTIF(B14:AC14,"E")+COUNTIF(B14:AC14,"イブ")</f>
        <v>0</v>
      </c>
      <c r="AK14" s="8">
        <f>COUNTIF(B14:AC14,"8時")</f>
        <v>0</v>
      </c>
      <c r="AL14" s="14" t="inlineStr">
        <is>
          <t/>
        </is>
      </c>
    </row>
    <row r="15" ht="24.75" customHeight="1">
      <c r="A15" s="5" t="inlineStr">
        <is>
          <t>スタッフ 12</t>
        </is>
      </c>
      <c r="B15" s="6" t="inlineStr">
        <is>
          <t>休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休</t>
        </is>
      </c>
      <c r="I15" s="6" t="inlineStr">
        <is>
          <t>休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休</t>
        </is>
      </c>
      <c r="P15" s="6" t="inlineStr">
        <is>
          <t>休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休</t>
        </is>
      </c>
      <c r="W15" s="6" t="inlineStr">
        <is>
          <t>休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休</t>
        </is>
      </c>
      <c r="AD15" s="8">
        <f>COUNTIF(B15:AC15,"○")+COUNTIF(B15:AC15,"〇")+COUNTIF(B15:AC15,"出")+COUNTIF(B15:AC15,"早")+COUNTIF(B15:AC15,"遅")+COUNTIF(B15:AC15,"E")+COUNTIF(B15:AC15,"8時")+COUNTIF(B15:AC15,"ハヤ")+COUNTIF(B15:AC15,"オソ")+COUNTIF(B15:AC15,"イブ")+0.5*(COUNTIF(B15:AC15,"○/休")+COUNTIF(B15:AC15,"〇/休")+COUNTIF(B15:AC15,"休/○")+COUNTIF(B15:AC15,"休/〇")+COUNTIF(B15:AC15,"○/有")+COUNTIF(B15:AC15,"〇/有")+COUNTIF(B15:AC15,"有/○")+COUNTIF(B15:AC15,"有/〇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8">
        <f>COUNTIF(B15:AC15,"早")+COUNTIF(B15:AC15,"ハヤ")</f>
        <v>0</v>
      </c>
      <c r="AI15" s="8">
        <f>COUNTIF(B15:AC15,"遅")+COUNTIF(B15:AC15,"オソ")</f>
        <v>0</v>
      </c>
      <c r="AJ15" s="8">
        <f>COUNTIF(B15:AC15,"E")+COUNTIF(B15:AC15,"イブ")</f>
        <v>0</v>
      </c>
      <c r="AK15" s="8">
        <f>COUNTIF(B15:AC15,"8時")</f>
        <v>0</v>
      </c>
      <c r="AL15" s="14" t="inlineStr">
        <is>
          <t/>
        </is>
      </c>
    </row>
    <row r="16" ht="24.75" customHeight="1">
      <c r="A16" s="5" t="inlineStr">
        <is>
          <t>スタッフ 13</t>
        </is>
      </c>
      <c r="B16" s="6" t="inlineStr">
        <is>
          <t>休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休</t>
        </is>
      </c>
      <c r="I16" s="6" t="inlineStr">
        <is>
          <t>休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休</t>
        </is>
      </c>
      <c r="P16" s="6" t="inlineStr">
        <is>
          <t>休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休</t>
        </is>
      </c>
      <c r="W16" s="6" t="inlineStr">
        <is>
          <t>休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休</t>
        </is>
      </c>
      <c r="AD16" s="8">
        <f>COUNTIF(B16:AC16,"○")+COUNTIF(B16:AC16,"〇")+COUNTIF(B16:AC16,"出")+COUNTIF(B16:AC16,"早")+COUNTIF(B16:AC16,"遅")+COUNTIF(B16:AC16,"E")+COUNTIF(B16:AC16,"8時")+COUNTIF(B16:AC16,"ハヤ")+COUNTIF(B16:AC16,"オソ")+COUNTIF(B16:AC16,"イブ")+0.5*(COUNTIF(B16:AC16,"○/休")+COUNTIF(B16:AC16,"〇/休")+COUNTIF(B16:AC16,"休/○")+COUNTIF(B16:AC16,"休/〇")+COUNTIF(B16:AC16,"○/有")+COUNTIF(B16:AC16,"〇/有")+COUNTIF(B16:AC16,"有/○")+COUNTIF(B16:AC16,"有/〇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8">
        <f>COUNTIF(B16:AC16,"早")+COUNTIF(B16:AC16,"ハヤ")</f>
        <v>0</v>
      </c>
      <c r="AI16" s="8">
        <f>COUNTIF(B16:AC16,"遅")+COUNTIF(B16:AC16,"オソ")</f>
        <v>0</v>
      </c>
      <c r="AJ16" s="8">
        <f>COUNTIF(B16:AC16,"E")+COUNTIF(B16:AC16,"イブ")</f>
        <v>0</v>
      </c>
      <c r="AK16" s="8">
        <f>COUNTIF(B16:AC16,"8時")</f>
        <v>0</v>
      </c>
      <c r="AL16" s="14" t="inlineStr">
        <is>
          <t/>
        </is>
      </c>
    </row>
    <row r="17" ht="24.75" customHeight="1">
      <c r="A17" s="5" t="inlineStr">
        <is>
          <t>スタッフ 14</t>
        </is>
      </c>
      <c r="B17" s="6" t="inlineStr">
        <is>
          <t>休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休</t>
        </is>
      </c>
      <c r="I17" s="6" t="inlineStr">
        <is>
          <t>休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休</t>
        </is>
      </c>
      <c r="P17" s="6" t="inlineStr">
        <is>
          <t>休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休</t>
        </is>
      </c>
      <c r="W17" s="6" t="inlineStr">
        <is>
          <t>休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休</t>
        </is>
      </c>
      <c r="AD17" s="8">
        <f>COUNTIF(B17:AC17,"○")+COUNTIF(B17:AC17,"〇")+COUNTIF(B17:AC17,"出")+COUNTIF(B17:AC17,"早")+COUNTIF(B17:AC17,"遅")+COUNTIF(B17:AC17,"E")+COUNTIF(B17:AC17,"8時")+COUNTIF(B17:AC17,"ハヤ")+COUNTIF(B17:AC17,"オソ")+COUNTIF(B17:AC17,"イブ")+0.5*(COUNTIF(B17:AC17,"○/休")+COUNTIF(B17:AC17,"〇/休")+COUNTIF(B17:AC17,"休/○")+COUNTIF(B17:AC17,"休/〇")+COUNTIF(B17:AC17,"○/有")+COUNTIF(B17:AC17,"〇/有")+COUNTIF(B17:AC17,"有/○")+COUNTIF(B17:AC17,"有/〇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8">
        <f>COUNTIF(B17:AC17,"早")+COUNTIF(B17:AC17,"ハヤ")</f>
        <v>0</v>
      </c>
      <c r="AI17" s="8">
        <f>COUNTIF(B17:AC17,"遅")+COUNTIF(B17:AC17,"オソ")</f>
        <v>0</v>
      </c>
      <c r="AJ17" s="8">
        <f>COUNTIF(B17:AC17,"E")+COUNTIF(B17:AC17,"イブ")</f>
        <v>0</v>
      </c>
      <c r="AK17" s="8">
        <f>COUNTIF(B17:AC17,"8時")</f>
        <v>0</v>
      </c>
      <c r="AL17" s="14" t="inlineStr">
        <is>
          <t/>
        </is>
      </c>
    </row>
    <row r="18" ht="24.75" customHeight="1">
      <c r="A18" s="5" t="inlineStr">
        <is>
          <t>スタッフ 15</t>
        </is>
      </c>
      <c r="B18" s="6" t="inlineStr">
        <is>
          <t>休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休</t>
        </is>
      </c>
      <c r="I18" s="6" t="inlineStr">
        <is>
          <t>休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休</t>
        </is>
      </c>
      <c r="P18" s="6" t="inlineStr">
        <is>
          <t>休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休</t>
        </is>
      </c>
      <c r="W18" s="6" t="inlineStr">
        <is>
          <t>休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休</t>
        </is>
      </c>
      <c r="AD18" s="8">
        <f>COUNTIF(B18:AC18,"○")+COUNTIF(B18:AC18,"〇")+COUNTIF(B18:AC18,"出")+COUNTIF(B18:AC18,"早")+COUNTIF(B18:AC18,"遅")+COUNTIF(B18:AC18,"E")+COUNTIF(B18:AC18,"8時")+COUNTIF(B18:AC18,"ハヤ")+COUNTIF(B18:AC18,"オソ")+COUNTIF(B18:AC18,"イブ")+0.5*(COUNTIF(B18:AC18,"○/休")+COUNTIF(B18:AC18,"〇/休")+COUNTIF(B18:AC18,"休/○")+COUNTIF(B18:AC18,"休/〇")+COUNTIF(B18:AC18,"○/有")+COUNTIF(B18:AC18,"〇/有")+COUNTIF(B18:AC18,"有/○")+COUNTIF(B18:AC18,"有/〇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8">
        <f>COUNTIF(B18:AC18,"早")+COUNTIF(B18:AC18,"ハヤ")</f>
        <v>0</v>
      </c>
      <c r="AI18" s="8">
        <f>COUNTIF(B18:AC18,"遅")+COUNTIF(B18:AC18,"オソ")</f>
        <v>0</v>
      </c>
      <c r="AJ18" s="8">
        <f>COUNTIF(B18:AC18,"E")+COUNTIF(B18:AC18,"イブ")</f>
        <v>0</v>
      </c>
      <c r="AK18" s="8">
        <f>COUNTIF(B18:AC18,"8時")</f>
        <v>0</v>
      </c>
      <c r="AL18" s="14" t="inlineStr">
        <is>
          <t/>
        </is>
      </c>
    </row>
    <row r="19" ht="24.75" customHeight="1">
      <c r="A19" s="5" t="inlineStr">
        <is>
          <t>スタッフ 16</t>
        </is>
      </c>
      <c r="B19" s="6" t="inlineStr">
        <is>
          <t>休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休</t>
        </is>
      </c>
      <c r="I19" s="6" t="inlineStr">
        <is>
          <t>休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休</t>
        </is>
      </c>
      <c r="P19" s="6" t="inlineStr">
        <is>
          <t>休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休</t>
        </is>
      </c>
      <c r="W19" s="6" t="inlineStr">
        <is>
          <t>休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休</t>
        </is>
      </c>
      <c r="AD19" s="8">
        <f>COUNTIF(B19:AC19,"○")+COUNTIF(B19:AC19,"〇")+COUNTIF(B19:AC19,"出")+COUNTIF(B19:AC19,"早")+COUNTIF(B19:AC19,"遅")+COUNTIF(B19:AC19,"E")+COUNTIF(B19:AC19,"8時")+COUNTIF(B19:AC19,"ハヤ")+COUNTIF(B19:AC19,"オソ")+COUNTIF(B19:AC19,"イブ")+0.5*(COUNTIF(B19:AC19,"○/休")+COUNTIF(B19:AC19,"〇/休")+COUNTIF(B19:AC19,"休/○")+COUNTIF(B19:AC19,"休/〇")+COUNTIF(B19:AC19,"○/有")+COUNTIF(B19:AC19,"〇/有")+COUNTIF(B19:AC19,"有/○")+COUNTIF(B19:AC19,"有/〇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8">
        <f>COUNTIF(B19:AC19,"早")+COUNTIF(B19:AC19,"ハヤ")</f>
        <v>0</v>
      </c>
      <c r="AI19" s="8">
        <f>COUNTIF(B19:AC19,"遅")+COUNTIF(B19:AC19,"オソ")</f>
        <v>0</v>
      </c>
      <c r="AJ19" s="8">
        <f>COUNTIF(B19:AC19,"E")+COUNTIF(B19:AC19,"イブ")</f>
        <v>0</v>
      </c>
      <c r="AK19" s="8">
        <f>COUNTIF(B19:AC19,"8時")</f>
        <v>0</v>
      </c>
      <c r="AL19" s="14" t="inlineStr">
        <is>
          <t/>
        </is>
      </c>
    </row>
    <row r="20" ht="24.75" customHeight="1">
      <c r="A20" s="5" t="inlineStr">
        <is>
          <t>スタッフ 17</t>
        </is>
      </c>
      <c r="B20" s="6" t="inlineStr">
        <is>
          <t>休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休</t>
        </is>
      </c>
      <c r="I20" s="6" t="inlineStr">
        <is>
          <t>休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休</t>
        </is>
      </c>
      <c r="P20" s="6" t="inlineStr">
        <is>
          <t>休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休</t>
        </is>
      </c>
      <c r="W20" s="6" t="inlineStr">
        <is>
          <t>休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休</t>
        </is>
      </c>
      <c r="AD20" s="8">
        <f>COUNTIF(B20:AC20,"○")+COUNTIF(B20:AC20,"〇")+COUNTIF(B20:AC20,"出")+COUNTIF(B20:AC20,"早")+COUNTIF(B20:AC20,"遅")+COUNTIF(B20:AC20,"E")+COUNTIF(B20:AC20,"8時")+COUNTIF(B20:AC20,"ハヤ")+COUNTIF(B20:AC20,"オソ")+COUNTIF(B20:AC20,"イブ")+0.5*(COUNTIF(B20:AC20,"○/休")+COUNTIF(B20:AC20,"〇/休")+COUNTIF(B20:AC20,"休/○")+COUNTIF(B20:AC20,"休/〇")+COUNTIF(B20:AC20,"○/有")+COUNTIF(B20:AC20,"〇/有")+COUNTIF(B20:AC20,"有/○")+COUNTIF(B20:AC20,"有/〇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8">
        <f>COUNTIF(B20:AC20,"早")+COUNTIF(B20:AC20,"ハヤ")</f>
        <v>0</v>
      </c>
      <c r="AI20" s="8">
        <f>COUNTIF(B20:AC20,"遅")+COUNTIF(B20:AC20,"オソ")</f>
        <v>0</v>
      </c>
      <c r="AJ20" s="8">
        <f>COUNTIF(B20:AC20,"E")+COUNTIF(B20:AC20,"イブ")</f>
        <v>0</v>
      </c>
      <c r="AK20" s="8">
        <f>COUNTIF(B20:AC20,"8時")</f>
        <v>0</v>
      </c>
      <c r="AL20" s="14" t="inlineStr">
        <is>
          <t/>
        </is>
      </c>
    </row>
    <row r="21" ht="24.75" customHeight="1">
      <c r="A21" s="5" t="inlineStr">
        <is>
          <t>スタッフ 18</t>
        </is>
      </c>
      <c r="B21" s="6" t="inlineStr">
        <is>
          <t>休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休</t>
        </is>
      </c>
      <c r="I21" s="6" t="inlineStr">
        <is>
          <t>休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休</t>
        </is>
      </c>
      <c r="P21" s="6" t="inlineStr">
        <is>
          <t>休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休</t>
        </is>
      </c>
      <c r="W21" s="6" t="inlineStr">
        <is>
          <t>休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休</t>
        </is>
      </c>
      <c r="AD21" s="8">
        <f>COUNTIF(B21:AC21,"○")+COUNTIF(B21:AC21,"〇")+COUNTIF(B21:AC21,"出")+COUNTIF(B21:AC21,"早")+COUNTIF(B21:AC21,"遅")+COUNTIF(B21:AC21,"E")+COUNTIF(B21:AC21,"8時")+COUNTIF(B21:AC21,"ハヤ")+COUNTIF(B21:AC21,"オソ")+COUNTIF(B21:AC21,"イブ")+0.5*(COUNTIF(B21:AC21,"○/休")+COUNTIF(B21:AC21,"〇/休")+COUNTIF(B21:AC21,"休/○")+COUNTIF(B21:AC21,"休/〇")+COUNTIF(B21:AC21,"○/有")+COUNTIF(B21:AC21,"〇/有")+COUNTIF(B21:AC21,"有/○")+COUNTIF(B21:AC21,"有/〇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8">
        <f>COUNTIF(B21:AC21,"早")+COUNTIF(B21:AC21,"ハヤ")</f>
        <v>0</v>
      </c>
      <c r="AI21" s="8">
        <f>COUNTIF(B21:AC21,"遅")+COUNTIF(B21:AC21,"オソ")</f>
        <v>0</v>
      </c>
      <c r="AJ21" s="8">
        <f>COUNTIF(B21:AC21,"E")+COUNTIF(B21:AC21,"イブ")</f>
        <v>0</v>
      </c>
      <c r="AK21" s="8">
        <f>COUNTIF(B21:AC21,"8時")</f>
        <v>0</v>
      </c>
      <c r="AL21" s="14" t="inlineStr">
        <is>
          <t/>
        </is>
      </c>
    </row>
    <row r="22" ht="24.75" customHeight="1">
      <c r="A22" s="5" t="inlineStr">
        <is>
          <t>スタッフ 19</t>
        </is>
      </c>
      <c r="B22" s="6" t="inlineStr">
        <is>
          <t>休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休</t>
        </is>
      </c>
      <c r="I22" s="6" t="inlineStr">
        <is>
          <t>休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休</t>
        </is>
      </c>
      <c r="P22" s="6" t="inlineStr">
        <is>
          <t>休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休</t>
        </is>
      </c>
      <c r="W22" s="6" t="inlineStr">
        <is>
          <t>休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休</t>
        </is>
      </c>
      <c r="AD22" s="8">
        <f>COUNTIF(B22:AC22,"○")+COUNTIF(B22:AC22,"〇")+COUNTIF(B22:AC22,"出")+COUNTIF(B22:AC22,"早")+COUNTIF(B22:AC22,"遅")+COUNTIF(B22:AC22,"E")+COUNTIF(B22:AC22,"8時")+COUNTIF(B22:AC22,"ハヤ")+COUNTIF(B22:AC22,"オソ")+COUNTIF(B22:AC22,"イブ")+0.5*(COUNTIF(B22:AC22,"○/休")+COUNTIF(B22:AC22,"〇/休")+COUNTIF(B22:AC22,"休/○")+COUNTIF(B22:AC22,"休/〇")+COUNTIF(B22:AC22,"○/有")+COUNTIF(B22:AC22,"〇/有")+COUNTIF(B22:AC22,"有/○")+COUNTIF(B22:AC22,"有/〇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8">
        <f>COUNTIF(B22:AC22,"早")+COUNTIF(B22:AC22,"ハヤ")</f>
        <v>0</v>
      </c>
      <c r="AI22" s="8">
        <f>COUNTIF(B22:AC22,"遅")+COUNTIF(B22:AC22,"オソ")</f>
        <v>0</v>
      </c>
      <c r="AJ22" s="8">
        <f>COUNTIF(B22:AC22,"E")+COUNTIF(B22:AC22,"イブ")</f>
        <v>0</v>
      </c>
      <c r="AK22" s="8">
        <f>COUNTIF(B22:AC22,"8時")</f>
        <v>0</v>
      </c>
      <c r="AL22" s="14" t="inlineStr">
        <is>
          <t/>
        </is>
      </c>
    </row>
    <row r="23" ht="24.75" customHeight="1">
      <c r="A23" s="5" t="inlineStr">
        <is>
          <t>スタッフ 20</t>
        </is>
      </c>
      <c r="B23" s="6" t="inlineStr">
        <is>
          <t>休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休</t>
        </is>
      </c>
      <c r="I23" s="6" t="inlineStr">
        <is>
          <t>休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休</t>
        </is>
      </c>
      <c r="P23" s="6" t="inlineStr">
        <is>
          <t>休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休</t>
        </is>
      </c>
      <c r="W23" s="6" t="inlineStr">
        <is>
          <t>休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休</t>
        </is>
      </c>
      <c r="AD23" s="8">
        <f>COUNTIF(B23:AC23,"○")+COUNTIF(B23:AC23,"〇")+COUNTIF(B23:AC23,"出")+COUNTIF(B23:AC23,"早")+COUNTIF(B23:AC23,"遅")+COUNTIF(B23:AC23,"E")+COUNTIF(B23:AC23,"8時")+COUNTIF(B23:AC23,"ハヤ")+COUNTIF(B23:AC23,"オソ")+COUNTIF(B23:AC23,"イブ")+0.5*(COUNTIF(B23:AC23,"○/休")+COUNTIF(B23:AC23,"〇/休")+COUNTIF(B23:AC23,"休/○")+COUNTIF(B23:AC23,"休/〇")+COUNTIF(B23:AC23,"○/有")+COUNTIF(B23:AC23,"〇/有")+COUNTIF(B23:AC23,"有/○")+COUNTIF(B23:AC23,"有/〇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8">
        <f>COUNTIF(B23:AC23,"早")+COUNTIF(B23:AC23,"ハヤ")</f>
        <v>0</v>
      </c>
      <c r="AI23" s="8">
        <f>COUNTIF(B23:AC23,"遅")+COUNTIF(B23:AC23,"オソ")</f>
        <v>0</v>
      </c>
      <c r="AJ23" s="8">
        <f>COUNTIF(B23:AC23,"E")+COUNTIF(B23:AC23,"イブ")</f>
        <v>0</v>
      </c>
      <c r="AK23" s="8">
        <f>COUNTIF(B23:AC23,"8時")</f>
        <v>0</v>
      </c>
      <c r="AL23" s="14" t="inlineStr">
        <is>
          <t/>
        </is>
      </c>
    </row>
    <row r="24" ht="24.75" customHeight="1">
      <c r="A24" s="5" t="inlineStr">
        <is>
          <t>スタッフ 21</t>
        </is>
      </c>
      <c r="B24" s="6" t="inlineStr">
        <is>
          <t>休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休</t>
        </is>
      </c>
      <c r="I24" s="6" t="inlineStr">
        <is>
          <t>休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休</t>
        </is>
      </c>
      <c r="P24" s="6" t="inlineStr">
        <is>
          <t>休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休</t>
        </is>
      </c>
      <c r="W24" s="6" t="inlineStr">
        <is>
          <t>休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休</t>
        </is>
      </c>
      <c r="AD24" s="8">
        <f>COUNTIF(B24:AC24,"○")+COUNTIF(B24:AC24,"〇")+COUNTIF(B24:AC24,"出")+COUNTIF(B24:AC24,"早")+COUNTIF(B24:AC24,"遅")+COUNTIF(B24:AC24,"E")+COUNTIF(B24:AC24,"8時")+COUNTIF(B24:AC24,"ハヤ")+COUNTIF(B24:AC24,"オソ")+COUNTIF(B24:AC24,"イブ")+0.5*(COUNTIF(B24:AC24,"○/休")+COUNTIF(B24:AC24,"〇/休")+COUNTIF(B24:AC24,"休/○")+COUNTIF(B24:AC24,"休/〇")+COUNTIF(B24:AC24,"○/有")+COUNTIF(B24:AC24,"〇/有")+COUNTIF(B24:AC24,"有/○")+COUNTIF(B24:AC24,"有/〇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8">
        <f>COUNTIF(B24:AC24,"早")+COUNTIF(B24:AC24,"ハヤ")</f>
        <v>0</v>
      </c>
      <c r="AI24" s="8">
        <f>COUNTIF(B24:AC24,"遅")+COUNTIF(B24:AC24,"オソ")</f>
        <v>0</v>
      </c>
      <c r="AJ24" s="8">
        <f>COUNTIF(B24:AC24,"E")+COUNTIF(B24:AC24,"イブ")</f>
        <v>0</v>
      </c>
      <c r="AK24" s="8">
        <f>COUNTIF(B24:AC24,"8時")</f>
        <v>0</v>
      </c>
      <c r="AL24" s="14" t="inlineStr">
        <is>
          <t/>
        </is>
      </c>
    </row>
    <row r="25" ht="24.75" customHeight="1">
      <c r="A25" s="5" t="inlineStr">
        <is>
          <t>スタッフ 22</t>
        </is>
      </c>
      <c r="B25" s="6" t="inlineStr">
        <is>
          <t>休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休</t>
        </is>
      </c>
      <c r="I25" s="6" t="inlineStr">
        <is>
          <t>休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休</t>
        </is>
      </c>
      <c r="P25" s="6" t="inlineStr">
        <is>
          <t>休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休</t>
        </is>
      </c>
      <c r="W25" s="6" t="inlineStr">
        <is>
          <t>休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休</t>
        </is>
      </c>
      <c r="AD25" s="8">
        <f>COUNTIF(B25:AC25,"○")+COUNTIF(B25:AC25,"〇")+COUNTIF(B25:AC25,"出")+COUNTIF(B25:AC25,"早")+COUNTIF(B25:AC25,"遅")+COUNTIF(B25:AC25,"E")+COUNTIF(B25:AC25,"8時")+COUNTIF(B25:AC25,"ハヤ")+COUNTIF(B25:AC25,"オソ")+COUNTIF(B25:AC25,"イブ")+0.5*(COUNTIF(B25:AC25,"○/休")+COUNTIF(B25:AC25,"〇/休")+COUNTIF(B25:AC25,"休/○")+COUNTIF(B25:AC25,"休/〇")+COUNTIF(B25:AC25,"○/有")+COUNTIF(B25:AC25,"〇/有")+COUNTIF(B25:AC25,"有/○")+COUNTIF(B25:AC25,"有/〇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8">
        <f>COUNTIF(B25:AC25,"早")+COUNTIF(B25:AC25,"ハヤ")</f>
        <v>0</v>
      </c>
      <c r="AI25" s="8">
        <f>COUNTIF(B25:AC25,"遅")+COUNTIF(B25:AC25,"オソ")</f>
        <v>0</v>
      </c>
      <c r="AJ25" s="8">
        <f>COUNTIF(B25:AC25,"E")+COUNTIF(B25:AC25,"イブ")</f>
        <v>0</v>
      </c>
      <c r="AK25" s="8">
        <f>COUNTIF(B25:AC25,"8時")</f>
        <v>0</v>
      </c>
      <c r="AL25" s="14" t="inlineStr">
        <is>
          <t/>
        </is>
      </c>
    </row>
    <row r="26" ht="24.75" customHeight="1">
      <c r="A26" s="5" t="inlineStr">
        <is>
          <t>スタッフ 23</t>
        </is>
      </c>
      <c r="B26" s="6" t="inlineStr">
        <is>
          <t>休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休</t>
        </is>
      </c>
      <c r="I26" s="6" t="inlineStr">
        <is>
          <t>休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休</t>
        </is>
      </c>
      <c r="P26" s="6" t="inlineStr">
        <is>
          <t>休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休</t>
        </is>
      </c>
      <c r="W26" s="6" t="inlineStr">
        <is>
          <t>休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休</t>
        </is>
      </c>
      <c r="AD26" s="8">
        <f>COUNTIF(B26:AC26,"○")+COUNTIF(B26:AC26,"〇")+COUNTIF(B26:AC26,"出")+COUNTIF(B26:AC26,"早")+COUNTIF(B26:AC26,"遅")+COUNTIF(B26:AC26,"E")+COUNTIF(B26:AC26,"8時")+COUNTIF(B26:AC26,"ハヤ")+COUNTIF(B26:AC26,"オソ")+COUNTIF(B26:AC26,"イブ")+0.5*(COUNTIF(B26:AC26,"○/休")+COUNTIF(B26:AC26,"〇/休")+COUNTIF(B26:AC26,"休/○")+COUNTIF(B26:AC26,"休/〇")+COUNTIF(B26:AC26,"○/有")+COUNTIF(B26:AC26,"〇/有")+COUNTIF(B26:AC26,"有/○")+COUNTIF(B26:AC26,"有/〇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8">
        <f>COUNTIF(B26:AC26,"早")+COUNTIF(B26:AC26,"ハヤ")</f>
        <v>0</v>
      </c>
      <c r="AI26" s="8">
        <f>COUNTIF(B26:AC26,"遅")+COUNTIF(B26:AC26,"オソ")</f>
        <v>0</v>
      </c>
      <c r="AJ26" s="8">
        <f>COUNTIF(B26:AC26,"E")+COUNTIF(B26:AC26,"イブ")</f>
        <v>0</v>
      </c>
      <c r="AK26" s="8">
        <f>COUNTIF(B26:AC26,"8時")</f>
        <v>0</v>
      </c>
      <c r="AL26" s="14" t="inlineStr">
        <is>
          <t/>
        </is>
      </c>
    </row>
    <row r="27" ht="24.75" customHeight="1">
      <c r="A27" s="5" t="inlineStr">
        <is>
          <t>スタッフ 24</t>
        </is>
      </c>
      <c r="B27" s="6" t="inlineStr">
        <is>
          <t>休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休</t>
        </is>
      </c>
      <c r="I27" s="6" t="inlineStr">
        <is>
          <t>休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休</t>
        </is>
      </c>
      <c r="P27" s="6" t="inlineStr">
        <is>
          <t>休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休</t>
        </is>
      </c>
      <c r="W27" s="6" t="inlineStr">
        <is>
          <t>休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休</t>
        </is>
      </c>
      <c r="AD27" s="8">
        <f>COUNTIF(B27:AC27,"○")+COUNTIF(B27:AC27,"〇")+COUNTIF(B27:AC27,"出")+COUNTIF(B27:AC27,"早")+COUNTIF(B27:AC27,"遅")+COUNTIF(B27:AC27,"E")+COUNTIF(B27:AC27,"8時")+COUNTIF(B27:AC27,"ハヤ")+COUNTIF(B27:AC27,"オソ")+COUNTIF(B27:AC27,"イブ")+0.5*(COUNTIF(B27:AC27,"○/休")+COUNTIF(B27:AC27,"〇/休")+COUNTIF(B27:AC27,"休/○")+COUNTIF(B27:AC27,"休/〇")+COUNTIF(B27:AC27,"○/有")+COUNTIF(B27:AC27,"〇/有")+COUNTIF(B27:AC27,"有/○")+COUNTIF(B27:AC27,"有/〇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8">
        <f>COUNTIF(B27:AC27,"早")+COUNTIF(B27:AC27,"ハヤ")</f>
        <v>0</v>
      </c>
      <c r="AI27" s="8">
        <f>COUNTIF(B27:AC27,"遅")+COUNTIF(B27:AC27,"オソ")</f>
        <v>0</v>
      </c>
      <c r="AJ27" s="8">
        <f>COUNTIF(B27:AC27,"E")+COUNTIF(B27:AC27,"イブ")</f>
        <v>0</v>
      </c>
      <c r="AK27" s="8">
        <f>COUNTIF(B27:AC27,"8時")</f>
        <v>0</v>
      </c>
      <c r="AL27" s="14" t="inlineStr">
        <is>
          <t/>
        </is>
      </c>
    </row>
    <row r="28" ht="24.75" customHeight="1">
      <c r="A28" s="5" t="inlineStr">
        <is>
          <t>スタッフ 25</t>
        </is>
      </c>
      <c r="B28" s="6" t="inlineStr">
        <is>
          <t>休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休</t>
        </is>
      </c>
      <c r="I28" s="6" t="inlineStr">
        <is>
          <t>休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休</t>
        </is>
      </c>
      <c r="P28" s="6" t="inlineStr">
        <is>
          <t>休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休</t>
        </is>
      </c>
      <c r="W28" s="6" t="inlineStr">
        <is>
          <t>休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休</t>
        </is>
      </c>
      <c r="AD28" s="8">
        <f>COUNTIF(B28:AC28,"○")+COUNTIF(B28:AC28,"〇")+COUNTIF(B28:AC28,"出")+COUNTIF(B28:AC28,"早")+COUNTIF(B28:AC28,"遅")+COUNTIF(B28:AC28,"E")+COUNTIF(B28:AC28,"8時")+COUNTIF(B28:AC28,"ハヤ")+COUNTIF(B28:AC28,"オソ")+COUNTIF(B28:AC28,"イブ")+0.5*(COUNTIF(B28:AC28,"○/休")+COUNTIF(B28:AC28,"〇/休")+COUNTIF(B28:AC28,"休/○")+COUNTIF(B28:AC28,"休/〇")+COUNTIF(B28:AC28,"○/有")+COUNTIF(B28:AC28,"〇/有")+COUNTIF(B28:AC28,"有/○")+COUNTIF(B28:AC28,"有/〇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8">
        <f>COUNTIF(B28:AC28,"早")+COUNTIF(B28:AC28,"ハヤ")</f>
        <v>0</v>
      </c>
      <c r="AI28" s="8">
        <f>COUNTIF(B28:AC28,"遅")+COUNTIF(B28:AC28,"オソ")</f>
        <v>0</v>
      </c>
      <c r="AJ28" s="8">
        <f>COUNTIF(B28:AC28,"E")+COUNTIF(B28:AC28,"イブ")</f>
        <v>0</v>
      </c>
      <c r="AK28" s="8">
        <f>COUNTIF(B28:AC28,"8時")</f>
        <v>0</v>
      </c>
      <c r="AL28" s="14" t="inlineStr">
        <is>
          <t/>
        </is>
      </c>
    </row>
    <row r="29" ht="24.75" customHeight="1">
      <c r="A29" s="5" t="inlineStr">
        <is>
          <t>スタッフ 26</t>
        </is>
      </c>
      <c r="B29" s="6" t="inlineStr">
        <is>
          <t>休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休</t>
        </is>
      </c>
      <c r="I29" s="6" t="inlineStr">
        <is>
          <t>休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休</t>
        </is>
      </c>
      <c r="P29" s="6" t="inlineStr">
        <is>
          <t>休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休</t>
        </is>
      </c>
      <c r="W29" s="6" t="inlineStr">
        <is>
          <t>休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休</t>
        </is>
      </c>
      <c r="AD29" s="8">
        <f>COUNTIF(B29:AC29,"○")+COUNTIF(B29:AC29,"〇")+COUNTIF(B29:AC29,"出")+COUNTIF(B29:AC29,"早")+COUNTIF(B29:AC29,"遅")+COUNTIF(B29:AC29,"E")+COUNTIF(B29:AC29,"8時")+COUNTIF(B29:AC29,"ハヤ")+COUNTIF(B29:AC29,"オソ")+COUNTIF(B29:AC29,"イブ")+0.5*(COUNTIF(B29:AC29,"○/休")+COUNTIF(B29:AC29,"〇/休")+COUNTIF(B29:AC29,"休/○")+COUNTIF(B29:AC29,"休/〇")+COUNTIF(B29:AC29,"○/有")+COUNTIF(B29:AC29,"〇/有")+COUNTIF(B29:AC29,"有/○")+COUNTIF(B29:AC29,"有/〇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8">
        <f>COUNTIF(B29:AC29,"早")+COUNTIF(B29:AC29,"ハヤ")</f>
        <v>0</v>
      </c>
      <c r="AI29" s="8">
        <f>COUNTIF(B29:AC29,"遅")+COUNTIF(B29:AC29,"オソ")</f>
        <v>0</v>
      </c>
      <c r="AJ29" s="8">
        <f>COUNTIF(B29:AC29,"E")+COUNTIF(B29:AC29,"イブ")</f>
        <v>0</v>
      </c>
      <c r="AK29" s="8">
        <f>COUNTIF(B29:AC29,"8時")</f>
        <v>0</v>
      </c>
      <c r="AL29" s="14" t="inlineStr">
        <is>
          <t/>
        </is>
      </c>
    </row>
    <row r="30" ht="24.75" customHeight="1">
      <c r="A30" s="5" t="inlineStr">
        <is>
          <t>スタッフ 27</t>
        </is>
      </c>
      <c r="B30" s="6" t="inlineStr">
        <is>
          <t>休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休</t>
        </is>
      </c>
      <c r="I30" s="6" t="inlineStr">
        <is>
          <t>休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休</t>
        </is>
      </c>
      <c r="P30" s="6" t="inlineStr">
        <is>
          <t>休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休</t>
        </is>
      </c>
      <c r="W30" s="6" t="inlineStr">
        <is>
          <t>休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休</t>
        </is>
      </c>
      <c r="AD30" s="8">
        <f>COUNTIF(B30:AC30,"○")+COUNTIF(B30:AC30,"〇")+COUNTIF(B30:AC30,"出")+COUNTIF(B30:AC30,"早")+COUNTIF(B30:AC30,"遅")+COUNTIF(B30:AC30,"E")+COUNTIF(B30:AC30,"8時")+COUNTIF(B30:AC30,"ハヤ")+COUNTIF(B30:AC30,"オソ")+COUNTIF(B30:AC30,"イブ")+0.5*(COUNTIF(B30:AC30,"○/休")+COUNTIF(B30:AC30,"〇/休")+COUNTIF(B30:AC30,"休/○")+COUNTIF(B30:AC30,"休/〇")+COUNTIF(B30:AC30,"○/有")+COUNTIF(B30:AC30,"〇/有")+COUNTIF(B30:AC30,"有/○")+COUNTIF(B30:AC30,"有/〇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8">
        <f>COUNTIF(B30:AC30,"早")+COUNTIF(B30:AC30,"ハヤ")</f>
        <v>0</v>
      </c>
      <c r="AI30" s="8">
        <f>COUNTIF(B30:AC30,"遅")+COUNTIF(B30:AC30,"オソ")</f>
        <v>0</v>
      </c>
      <c r="AJ30" s="8">
        <f>COUNTIF(B30:AC30,"E")+COUNTIF(B30:AC30,"イブ")</f>
        <v>0</v>
      </c>
      <c r="AK30" s="8">
        <f>COUNTIF(B30:AC30,"8時")</f>
        <v>0</v>
      </c>
      <c r="AL30" s="14" t="inlineStr">
        <is>
          <t/>
        </is>
      </c>
    </row>
    <row r="31" ht="24.75" customHeight="1">
      <c r="A31" s="5" t="inlineStr">
        <is>
          <t>スタッフ 28</t>
        </is>
      </c>
      <c r="B31" s="6" t="inlineStr">
        <is>
          <t>休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休</t>
        </is>
      </c>
      <c r="I31" s="6" t="inlineStr">
        <is>
          <t>休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休</t>
        </is>
      </c>
      <c r="P31" s="6" t="inlineStr">
        <is>
          <t>休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休</t>
        </is>
      </c>
      <c r="W31" s="6" t="inlineStr">
        <is>
          <t>休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休</t>
        </is>
      </c>
      <c r="AD31" s="8">
        <f>COUNTIF(B31:AC31,"○")+COUNTIF(B31:AC31,"〇")+COUNTIF(B31:AC31,"出")+COUNTIF(B31:AC31,"早")+COUNTIF(B31:AC31,"遅")+COUNTIF(B31:AC31,"E")+COUNTIF(B31:AC31,"8時")+COUNTIF(B31:AC31,"ハヤ")+COUNTIF(B31:AC31,"オソ")+COUNTIF(B31:AC31,"イブ")+0.5*(COUNTIF(B31:AC31,"○/休")+COUNTIF(B31:AC31,"〇/休")+COUNTIF(B31:AC31,"休/○")+COUNTIF(B31:AC31,"休/〇")+COUNTIF(B31:AC31,"○/有")+COUNTIF(B31:AC31,"〇/有")+COUNTIF(B31:AC31,"有/○")+COUNTIF(B31:AC31,"有/〇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8">
        <f>COUNTIF(B31:AC31,"早")+COUNTIF(B31:AC31,"ハヤ")</f>
        <v>0</v>
      </c>
      <c r="AI31" s="8">
        <f>COUNTIF(B31:AC31,"遅")+COUNTIF(B31:AC31,"オソ")</f>
        <v>0</v>
      </c>
      <c r="AJ31" s="8">
        <f>COUNTIF(B31:AC31,"E")+COUNTIF(B31:AC31,"イブ")</f>
        <v>0</v>
      </c>
      <c r="AK31" s="8">
        <f>COUNTIF(B31:AC31,"8時")</f>
        <v>0</v>
      </c>
      <c r="AL31" s="14" t="inlineStr">
        <is>
          <t/>
        </is>
      </c>
    </row>
    <row r="32" ht="24.75" customHeight="1">
      <c r="A32" s="5" t="inlineStr">
        <is>
          <t>スタッフ 29</t>
        </is>
      </c>
      <c r="B32" s="6" t="inlineStr">
        <is>
          <t>休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休</t>
        </is>
      </c>
      <c r="I32" s="6" t="inlineStr">
        <is>
          <t>休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休</t>
        </is>
      </c>
      <c r="P32" s="6" t="inlineStr">
        <is>
          <t>休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休</t>
        </is>
      </c>
      <c r="W32" s="6" t="inlineStr">
        <is>
          <t>休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休</t>
        </is>
      </c>
      <c r="AD32" s="8">
        <f>COUNTIF(B32:AC32,"○")+COUNTIF(B32:AC32,"〇")+COUNTIF(B32:AC32,"出")+COUNTIF(B32:AC32,"早")+COUNTIF(B32:AC32,"遅")+COUNTIF(B32:AC32,"E")+COUNTIF(B32:AC32,"8時")+COUNTIF(B32:AC32,"ハヤ")+COUNTIF(B32:AC32,"オソ")+COUNTIF(B32:AC32,"イブ")+0.5*(COUNTIF(B32:AC32,"○/休")+COUNTIF(B32:AC32,"〇/休")+COUNTIF(B32:AC32,"休/○")+COUNTIF(B32:AC32,"休/〇")+COUNTIF(B32:AC32,"○/有")+COUNTIF(B32:AC32,"〇/有")+COUNTIF(B32:AC32,"有/○")+COUNTIF(B32:AC32,"有/〇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8">
        <f>COUNTIF(B32:AC32,"早")+COUNTIF(B32:AC32,"ハヤ")</f>
        <v>0</v>
      </c>
      <c r="AI32" s="8">
        <f>COUNTIF(B32:AC32,"遅")+COUNTIF(B32:AC32,"オソ")</f>
        <v>0</v>
      </c>
      <c r="AJ32" s="8">
        <f>COUNTIF(B32:AC32,"E")+COUNTIF(B32:AC32,"イブ")</f>
        <v>0</v>
      </c>
      <c r="AK32" s="8">
        <f>COUNTIF(B32:AC32,"8時")</f>
        <v>0</v>
      </c>
      <c r="AL32" s="14" t="inlineStr">
        <is>
          <t/>
        </is>
      </c>
    </row>
    <row r="33" ht="24.75" customHeight="1">
      <c r="A33" s="5" t="inlineStr">
        <is>
          <t>スタッフ 30</t>
        </is>
      </c>
      <c r="B33" s="6" t="inlineStr">
        <is>
          <t>休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休</t>
        </is>
      </c>
      <c r="I33" s="6" t="inlineStr">
        <is>
          <t>休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休</t>
        </is>
      </c>
      <c r="P33" s="6" t="inlineStr">
        <is>
          <t>休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休</t>
        </is>
      </c>
      <c r="W33" s="6" t="inlineStr">
        <is>
          <t>休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休</t>
        </is>
      </c>
      <c r="AD33" s="8">
        <f>COUNTIF(B33:AC33,"○")+COUNTIF(B33:AC33,"〇")+COUNTIF(B33:AC33,"出")+COUNTIF(B33:AC33,"早")+COUNTIF(B33:AC33,"遅")+COUNTIF(B33:AC33,"E")+COUNTIF(B33:AC33,"8時")+COUNTIF(B33:AC33,"ハヤ")+COUNTIF(B33:AC33,"オソ")+COUNTIF(B33:AC33,"イブ")+0.5*(COUNTIF(B33:AC33,"○/休")+COUNTIF(B33:AC33,"〇/休")+COUNTIF(B33:AC33,"休/○")+COUNTIF(B33:AC33,"休/〇")+COUNTIF(B33:AC33,"○/有")+COUNTIF(B33:AC33,"〇/有")+COUNTIF(B33:AC33,"有/○")+COUNTIF(B33:AC33,"有/〇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8">
        <f>COUNTIF(B33:AC33,"早")+COUNTIF(B33:AC33,"ハヤ")</f>
        <v>0</v>
      </c>
      <c r="AI33" s="8">
        <f>COUNTIF(B33:AC33,"遅")+COUNTIF(B33:AC33,"オソ")</f>
        <v>0</v>
      </c>
      <c r="AJ33" s="8">
        <f>COUNTIF(B33:AC33,"E")+COUNTIF(B33:AC33,"イブ")</f>
        <v>0</v>
      </c>
      <c r="AK33" s="8">
        <f>COUNTIF(B33:AC33,"8時")</f>
        <v>0</v>
      </c>
      <c r="AL33" s="14" t="inlineStr">
        <is>
          <t/>
        </is>
      </c>
    </row>
    <row r="34" ht="28.5" customHeight="1">
      <c r="A34" s="9" t="inlineStr">
        <is>
          <t>出勤人数合計</t>
        </is>
      </c>
      <c r="B34" s="9">
        <f>COUNTIF(B$4:B$33,"○")+COUNTIF(B$4:B$33,"〇")+COUNTIF(B$4:B$33,"出")+COUNTIF(B$4:B$33,"早")+COUNTIF(B$4:B$33,"遅")+COUNTIF(B$4:B$33,"E")+COUNTIF(B$4:B$33,"8時")+COUNTIF(B$4:B$33,"ハヤ")+COUNTIF(B$4:B$33,"オソ")+COUNTIF(B$4:B$33,"イブ")+0.5*(COUNTIF(B$4:B$33,"○/休")+COUNTIF(B$4:B$33,"〇/休")+COUNTIF(B$4:B$33,"休/○")+COUNTIF(B$4:B$33,"休/〇")+COUNTIF(B$4:B$33,"○/有")+COUNTIF(B$4:B$33,"〇/有")+COUNTIF(B$4:B$33,"有/○")+COUNTIF(B$4:B$33,"有/〇"))</f>
        <v>0</v>
      </c>
      <c r="C34" s="9">
        <f>COUNTIF(C$4:C$33,"○")+COUNTIF(C$4:C$33,"〇")+COUNTIF(C$4:C$33,"出")+COUNTIF(C$4:C$33,"早")+COUNTIF(C$4:C$33,"遅")+COUNTIF(C$4:C$33,"E")+COUNTIF(C$4:C$33,"8時")+COUNTIF(C$4:C$33,"ハヤ")+COUNTIF(C$4:C$33,"オソ")+COUNTIF(C$4:C$33,"イブ")+0.5*(COUNTIF(C$4:C$33,"○/休")+COUNTIF(C$4:C$33,"〇/休")+COUNTIF(C$4:C$33,"休/○")+COUNTIF(C$4:C$33,"休/〇")+COUNTIF(C$4:C$33,"○/有")+COUNTIF(C$4:C$33,"〇/有")+COUNTIF(C$4:C$33,"有/○")+COUNTIF(C$4:C$33,"有/〇"))</f>
        <v>0</v>
      </c>
      <c r="D34" s="9">
        <f>COUNTIF(D$4:D$33,"○")+COUNTIF(D$4:D$33,"〇")+COUNTIF(D$4:D$33,"出")+COUNTIF(D$4:D$33,"早")+COUNTIF(D$4:D$33,"遅")+COUNTIF(D$4:D$33,"E")+COUNTIF(D$4:D$33,"8時")+COUNTIF(D$4:D$33,"ハヤ")+COUNTIF(D$4:D$33,"オソ")+COUNTIF(D$4:D$33,"イブ")+0.5*(COUNTIF(D$4:D$33,"○/休")+COUNTIF(D$4:D$33,"〇/休")+COUNTIF(D$4:D$33,"休/○")+COUNTIF(D$4:D$33,"休/〇")+COUNTIF(D$4:D$33,"○/有")+COUNTIF(D$4:D$33,"〇/有")+COUNTIF(D$4:D$33,"有/○")+COUNTIF(D$4:D$33,"有/〇"))</f>
        <v>0</v>
      </c>
      <c r="E34" s="9">
        <f>COUNTIF(E$4:E$33,"○")+COUNTIF(E$4:E$33,"〇")+COUNTIF(E$4:E$33,"出")+COUNTIF(E$4:E$33,"早")+COUNTIF(E$4:E$33,"遅")+COUNTIF(E$4:E$33,"E")+COUNTIF(E$4:E$33,"8時")+COUNTIF(E$4:E$33,"ハヤ")+COUNTIF(E$4:E$33,"オソ")+COUNTIF(E$4:E$33,"イブ")+0.5*(COUNTIF(E$4:E$33,"○/休")+COUNTIF(E$4:E$33,"〇/休")+COUNTIF(E$4:E$33,"休/○")+COUNTIF(E$4:E$33,"休/〇")+COUNTIF(E$4:E$33,"○/有")+COUNTIF(E$4:E$33,"〇/有")+COUNTIF(E$4:E$33,"有/○")+COUNTIF(E$4:E$33,"有/〇"))</f>
        <v>0</v>
      </c>
      <c r="F34" s="9">
        <f>COUNTIF(F$4:F$33,"○")+COUNTIF(F$4:F$33,"〇")+COUNTIF(F$4:F$33,"出")+COUNTIF(F$4:F$33,"早")+COUNTIF(F$4:F$33,"遅")+COUNTIF(F$4:F$33,"E")+COUNTIF(F$4:F$33,"8時")+COUNTIF(F$4:F$33,"ハヤ")+COUNTIF(F$4:F$33,"オソ")+COUNTIF(F$4:F$33,"イブ")+0.5*(COUNTIF(F$4:F$33,"○/休")+COUNTIF(F$4:F$33,"〇/休")+COUNTIF(F$4:F$33,"休/○")+COUNTIF(F$4:F$33,"休/〇")+COUNTIF(F$4:F$33,"○/有")+COUNTIF(F$4:F$33,"〇/有")+COUNTIF(F$4:F$33,"有/○")+COUNTIF(F$4:F$33,"有/〇"))</f>
        <v>0</v>
      </c>
      <c r="G34" s="9">
        <f>COUNTIF(G$4:G$33,"○")+COUNTIF(G$4:G$33,"〇")+COUNTIF(G$4:G$33,"出")+COUNTIF(G$4:G$33,"早")+COUNTIF(G$4:G$33,"遅")+COUNTIF(G$4:G$33,"E")+COUNTIF(G$4:G$33,"8時")+COUNTIF(G$4:G$33,"ハヤ")+COUNTIF(G$4:G$33,"オソ")+COUNTIF(G$4:G$33,"イブ")+0.5*(COUNTIF(G$4:G$33,"○/休")+COUNTIF(G$4:G$33,"〇/休")+COUNTIF(G$4:G$33,"休/○")+COUNTIF(G$4:G$33,"休/〇")+COUNTIF(G$4:G$33,"○/有")+COUNTIF(G$4:G$33,"〇/有")+COUNTIF(G$4:G$33,"有/○")+COUNTIF(G$4:G$33,"有/〇"))</f>
        <v>0</v>
      </c>
      <c r="H34" s="9">
        <f>COUNTIF(H$4:H$33,"○")+COUNTIF(H$4:H$33,"〇")+COUNTIF(H$4:H$33,"出")+COUNTIF(H$4:H$33,"早")+COUNTIF(H$4:H$33,"遅")+COUNTIF(H$4:H$33,"E")+COUNTIF(H$4:H$33,"8時")+COUNTIF(H$4:H$33,"ハヤ")+COUNTIF(H$4:H$33,"オソ")+COUNTIF(H$4:H$33,"イブ")+0.5*(COUNTIF(H$4:H$33,"○/休")+COUNTIF(H$4:H$33,"〇/休")+COUNTIF(H$4:H$33,"休/○")+COUNTIF(H$4:H$33,"休/〇")+COUNTIF(H$4:H$33,"○/有")+COUNTIF(H$4:H$33,"〇/有")+COUNTIF(H$4:H$33,"有/○")+COUNTIF(H$4:H$33,"有/〇"))</f>
        <v>0</v>
      </c>
      <c r="I34" s="9">
        <f>COUNTIF(I$4:I$33,"○")+COUNTIF(I$4:I$33,"〇")+COUNTIF(I$4:I$33,"出")+COUNTIF(I$4:I$33,"早")+COUNTIF(I$4:I$33,"遅")+COUNTIF(I$4:I$33,"E")+COUNTIF(I$4:I$33,"8時")+COUNTIF(I$4:I$33,"ハヤ")+COUNTIF(I$4:I$33,"オソ")+COUNTIF(I$4:I$33,"イブ")+0.5*(COUNTIF(I$4:I$33,"○/休")+COUNTIF(I$4:I$33,"〇/休")+COUNTIF(I$4:I$33,"休/○")+COUNTIF(I$4:I$33,"休/〇")+COUNTIF(I$4:I$33,"○/有")+COUNTIF(I$4:I$33,"〇/有")+COUNTIF(I$4:I$33,"有/○")+COUNTIF(I$4:I$33,"有/〇"))</f>
        <v>0</v>
      </c>
      <c r="J34" s="9">
        <f>COUNTIF(J$4:J$33,"○")+COUNTIF(J$4:J$33,"〇")+COUNTIF(J$4:J$33,"出")+COUNTIF(J$4:J$33,"早")+COUNTIF(J$4:J$33,"遅")+COUNTIF(J$4:J$33,"E")+COUNTIF(J$4:J$33,"8時")+COUNTIF(J$4:J$33,"ハヤ")+COUNTIF(J$4:J$33,"オソ")+COUNTIF(J$4:J$33,"イブ")+0.5*(COUNTIF(J$4:J$33,"○/休")+COUNTIF(J$4:J$33,"〇/休")+COUNTIF(J$4:J$33,"休/○")+COUNTIF(J$4:J$33,"休/〇")+COUNTIF(J$4:J$33,"○/有")+COUNTIF(J$4:J$33,"〇/有")+COUNTIF(J$4:J$33,"有/○")+COUNTIF(J$4:J$33,"有/〇"))</f>
        <v>0</v>
      </c>
      <c r="K34" s="9">
        <f>COUNTIF(K$4:K$33,"○")+COUNTIF(K$4:K$33,"〇")+COUNTIF(K$4:K$33,"出")+COUNTIF(K$4:K$33,"早")+COUNTIF(K$4:K$33,"遅")+COUNTIF(K$4:K$33,"E")+COUNTIF(K$4:K$33,"8時")+COUNTIF(K$4:K$33,"ハヤ")+COUNTIF(K$4:K$33,"オソ")+COUNTIF(K$4:K$33,"イブ")+0.5*(COUNTIF(K$4:K$33,"○/休")+COUNTIF(K$4:K$33,"〇/休")+COUNTIF(K$4:K$33,"休/○")+COUNTIF(K$4:K$33,"休/〇")+COUNTIF(K$4:K$33,"○/有")+COUNTIF(K$4:K$33,"〇/有")+COUNTIF(K$4:K$33,"有/○")+COUNTIF(K$4:K$33,"有/〇"))</f>
        <v>0</v>
      </c>
      <c r="L34" s="9">
        <f>COUNTIF(L$4:L$33,"○")+COUNTIF(L$4:L$33,"〇")+COUNTIF(L$4:L$33,"出")+COUNTIF(L$4:L$33,"早")+COUNTIF(L$4:L$33,"遅")+COUNTIF(L$4:L$33,"E")+COUNTIF(L$4:L$33,"8時")+COUNTIF(L$4:L$33,"ハヤ")+COUNTIF(L$4:L$33,"オソ")+COUNTIF(L$4:L$33,"イブ")+0.5*(COUNTIF(L$4:L$33,"○/休")+COUNTIF(L$4:L$33,"〇/休")+COUNTIF(L$4:L$33,"休/○")+COUNTIF(L$4:L$33,"休/〇")+COUNTIF(L$4:L$33,"○/有")+COUNTIF(L$4:L$33,"〇/有")+COUNTIF(L$4:L$33,"有/○")+COUNTIF(L$4:L$33,"有/〇"))</f>
        <v>0</v>
      </c>
      <c r="M34" s="9">
        <f>COUNTIF(M$4:M$33,"○")+COUNTIF(M$4:M$33,"〇")+COUNTIF(M$4:M$33,"出")+COUNTIF(M$4:M$33,"早")+COUNTIF(M$4:M$33,"遅")+COUNTIF(M$4:M$33,"E")+COUNTIF(M$4:M$33,"8時")+COUNTIF(M$4:M$33,"ハヤ")+COUNTIF(M$4:M$33,"オソ")+COUNTIF(M$4:M$33,"イブ")+0.5*(COUNTIF(M$4:M$33,"○/休")+COUNTIF(M$4:M$33,"〇/休")+COUNTIF(M$4:M$33,"休/○")+COUNTIF(M$4:M$33,"休/〇")+COUNTIF(M$4:M$33,"○/有")+COUNTIF(M$4:M$33,"〇/有")+COUNTIF(M$4:M$33,"有/○")+COUNTIF(M$4:M$33,"有/〇"))</f>
        <v>0</v>
      </c>
      <c r="N34" s="9">
        <f>COUNTIF(N$4:N$33,"○")+COUNTIF(N$4:N$33,"〇")+COUNTIF(N$4:N$33,"出")+COUNTIF(N$4:N$33,"早")+COUNTIF(N$4:N$33,"遅")+COUNTIF(N$4:N$33,"E")+COUNTIF(N$4:N$33,"8時")+COUNTIF(N$4:N$33,"ハヤ")+COUNTIF(N$4:N$33,"オソ")+COUNTIF(N$4:N$33,"イブ")+0.5*(COUNTIF(N$4:N$33,"○/休")+COUNTIF(N$4:N$33,"〇/休")+COUNTIF(N$4:N$33,"休/○")+COUNTIF(N$4:N$33,"休/〇")+COUNTIF(N$4:N$33,"○/有")+COUNTIF(N$4:N$33,"〇/有")+COUNTIF(N$4:N$33,"有/○")+COUNTIF(N$4:N$33,"有/〇"))</f>
        <v>0</v>
      </c>
      <c r="O34" s="9">
        <f>COUNTIF(O$4:O$33,"○")+COUNTIF(O$4:O$33,"〇")+COUNTIF(O$4:O$33,"出")+COUNTIF(O$4:O$33,"早")+COUNTIF(O$4:O$33,"遅")+COUNTIF(O$4:O$33,"E")+COUNTIF(O$4:O$33,"8時")+COUNTIF(O$4:O$33,"ハヤ")+COUNTIF(O$4:O$33,"オソ")+COUNTIF(O$4:O$33,"イブ")+0.5*(COUNTIF(O$4:O$33,"○/休")+COUNTIF(O$4:O$33,"〇/休")+COUNTIF(O$4:O$33,"休/○")+COUNTIF(O$4:O$33,"休/〇")+COUNTIF(O$4:O$33,"○/有")+COUNTIF(O$4:O$33,"〇/有")+COUNTIF(O$4:O$33,"有/○")+COUNTIF(O$4:O$33,"有/〇"))</f>
        <v>0</v>
      </c>
      <c r="P34" s="9">
        <f>COUNTIF(P$4:P$33,"○")+COUNTIF(P$4:P$33,"〇")+COUNTIF(P$4:P$33,"出")+COUNTIF(P$4:P$33,"早")+COUNTIF(P$4:P$33,"遅")+COUNTIF(P$4:P$33,"E")+COUNTIF(P$4:P$33,"8時")+COUNTIF(P$4:P$33,"ハヤ")+COUNTIF(P$4:P$33,"オソ")+COUNTIF(P$4:P$33,"イブ")+0.5*(COUNTIF(P$4:P$33,"○/休")+COUNTIF(P$4:P$33,"〇/休")+COUNTIF(P$4:P$33,"休/○")+COUNTIF(P$4:P$33,"休/〇")+COUNTIF(P$4:P$33,"○/有")+COUNTIF(P$4:P$33,"〇/有")+COUNTIF(P$4:P$33,"有/○")+COUNTIF(P$4:P$33,"有/〇"))</f>
        <v>0</v>
      </c>
      <c r="Q34" s="9">
        <f>COUNTIF(Q$4:Q$33,"○")+COUNTIF(Q$4:Q$33,"〇")+COUNTIF(Q$4:Q$33,"出")+COUNTIF(Q$4:Q$33,"早")+COUNTIF(Q$4:Q$33,"遅")+COUNTIF(Q$4:Q$33,"E")+COUNTIF(Q$4:Q$33,"8時")+COUNTIF(Q$4:Q$33,"ハヤ")+COUNTIF(Q$4:Q$33,"オソ")+COUNTIF(Q$4:Q$33,"イブ")+0.5*(COUNTIF(Q$4:Q$33,"○/休")+COUNTIF(Q$4:Q$33,"〇/休")+COUNTIF(Q$4:Q$33,"休/○")+COUNTIF(Q$4:Q$33,"休/〇")+COUNTIF(Q$4:Q$33,"○/有")+COUNTIF(Q$4:Q$33,"〇/有")+COUNTIF(Q$4:Q$33,"有/○")+COUNTIF(Q$4:Q$33,"有/〇"))</f>
        <v>0</v>
      </c>
      <c r="R34" s="9">
        <f>COUNTIF(R$4:R$33,"○")+COUNTIF(R$4:R$33,"〇")+COUNTIF(R$4:R$33,"出")+COUNTIF(R$4:R$33,"早")+COUNTIF(R$4:R$33,"遅")+COUNTIF(R$4:R$33,"E")+COUNTIF(R$4:R$33,"8時")+COUNTIF(R$4:R$33,"ハヤ")+COUNTIF(R$4:R$33,"オソ")+COUNTIF(R$4:R$33,"イブ")+0.5*(COUNTIF(R$4:R$33,"○/休")+COUNTIF(R$4:R$33,"〇/休")+COUNTIF(R$4:R$33,"休/○")+COUNTIF(R$4:R$33,"休/〇")+COUNTIF(R$4:R$33,"○/有")+COUNTIF(R$4:R$33,"〇/有")+COUNTIF(R$4:R$33,"有/○")+COUNTIF(R$4:R$33,"有/〇"))</f>
        <v>0</v>
      </c>
      <c r="S34" s="9">
        <f>COUNTIF(S$4:S$33,"○")+COUNTIF(S$4:S$33,"〇")+COUNTIF(S$4:S$33,"出")+COUNTIF(S$4:S$33,"早")+COUNTIF(S$4:S$33,"遅")+COUNTIF(S$4:S$33,"E")+COUNTIF(S$4:S$33,"8時")+COUNTIF(S$4:S$33,"ハヤ")+COUNTIF(S$4:S$33,"オソ")+COUNTIF(S$4:S$33,"イブ")+0.5*(COUNTIF(S$4:S$33,"○/休")+COUNTIF(S$4:S$33,"〇/休")+COUNTIF(S$4:S$33,"休/○")+COUNTIF(S$4:S$33,"休/〇")+COUNTIF(S$4:S$33,"○/有")+COUNTIF(S$4:S$33,"〇/有")+COUNTIF(S$4:S$33,"有/○")+COUNTIF(S$4:S$33,"有/〇"))</f>
        <v>0</v>
      </c>
      <c r="T34" s="9">
        <f>COUNTIF(T$4:T$33,"○")+COUNTIF(T$4:T$33,"〇")+COUNTIF(T$4:T$33,"出")+COUNTIF(T$4:T$33,"早")+COUNTIF(T$4:T$33,"遅")+COUNTIF(T$4:T$33,"E")+COUNTIF(T$4:T$33,"8時")+COUNTIF(T$4:T$33,"ハヤ")+COUNTIF(T$4:T$33,"オソ")+COUNTIF(T$4:T$33,"イブ")+0.5*(COUNTIF(T$4:T$33,"○/休")+COUNTIF(T$4:T$33,"〇/休")+COUNTIF(T$4:T$33,"休/○")+COUNTIF(T$4:T$33,"休/〇")+COUNTIF(T$4:T$33,"○/有")+COUNTIF(T$4:T$33,"〇/有")+COUNTIF(T$4:T$33,"有/○")+COUNTIF(T$4:T$33,"有/〇"))</f>
        <v>0</v>
      </c>
      <c r="U34" s="9">
        <f>COUNTIF(U$4:U$33,"○")+COUNTIF(U$4:U$33,"〇")+COUNTIF(U$4:U$33,"出")+COUNTIF(U$4:U$33,"早")+COUNTIF(U$4:U$33,"遅")+COUNTIF(U$4:U$33,"E")+COUNTIF(U$4:U$33,"8時")+COUNTIF(U$4:U$33,"ハヤ")+COUNTIF(U$4:U$33,"オソ")+COUNTIF(U$4:U$33,"イブ")+0.5*(COUNTIF(U$4:U$33,"○/休")+COUNTIF(U$4:U$33,"〇/休")+COUNTIF(U$4:U$33,"休/○")+COUNTIF(U$4:U$33,"休/〇")+COUNTIF(U$4:U$33,"○/有")+COUNTIF(U$4:U$33,"〇/有")+COUNTIF(U$4:U$33,"有/○")+COUNTIF(U$4:U$33,"有/〇"))</f>
        <v>0</v>
      </c>
      <c r="V34" s="9">
        <f>COUNTIF(V$4:V$33,"○")+COUNTIF(V$4:V$33,"〇")+COUNTIF(V$4:V$33,"出")+COUNTIF(V$4:V$33,"早")+COUNTIF(V$4:V$33,"遅")+COUNTIF(V$4:V$33,"E")+COUNTIF(V$4:V$33,"8時")+COUNTIF(V$4:V$33,"ハヤ")+COUNTIF(V$4:V$33,"オソ")+COUNTIF(V$4:V$33,"イブ")+0.5*(COUNTIF(V$4:V$33,"○/休")+COUNTIF(V$4:V$33,"〇/休")+COUNTIF(V$4:V$33,"休/○")+COUNTIF(V$4:V$33,"休/〇")+COUNTIF(V$4:V$33,"○/有")+COUNTIF(V$4:V$33,"〇/有")+COUNTIF(V$4:V$33,"有/○")+COUNTIF(V$4:V$33,"有/〇"))</f>
        <v>0</v>
      </c>
      <c r="W34" s="9">
        <f>COUNTIF(W$4:W$33,"○")+COUNTIF(W$4:W$33,"〇")+COUNTIF(W$4:W$33,"出")+COUNTIF(W$4:W$33,"早")+COUNTIF(W$4:W$33,"遅")+COUNTIF(W$4:W$33,"E")+COUNTIF(W$4:W$33,"8時")+COUNTIF(W$4:W$33,"ハヤ")+COUNTIF(W$4:W$33,"オソ")+COUNTIF(W$4:W$33,"イブ")+0.5*(COUNTIF(W$4:W$33,"○/休")+COUNTIF(W$4:W$33,"〇/休")+COUNTIF(W$4:W$33,"休/○")+COUNTIF(W$4:W$33,"休/〇")+COUNTIF(W$4:W$33,"○/有")+COUNTIF(W$4:W$33,"〇/有")+COUNTIF(W$4:W$33,"有/○")+COUNTIF(W$4:W$33,"有/〇"))</f>
        <v>0</v>
      </c>
      <c r="X34" s="9">
        <f>COUNTIF(X$4:X$33,"○")+COUNTIF(X$4:X$33,"〇")+COUNTIF(X$4:X$33,"出")+COUNTIF(X$4:X$33,"早")+COUNTIF(X$4:X$33,"遅")+COUNTIF(X$4:X$33,"E")+COUNTIF(X$4:X$33,"8時")+COUNTIF(X$4:X$33,"ハヤ")+COUNTIF(X$4:X$33,"オソ")+COUNTIF(X$4:X$33,"イブ")+0.5*(COUNTIF(X$4:X$33,"○/休")+COUNTIF(X$4:X$33,"〇/休")+COUNTIF(X$4:X$33,"休/○")+COUNTIF(X$4:X$33,"休/〇")+COUNTIF(X$4:X$33,"○/有")+COUNTIF(X$4:X$33,"〇/有")+COUNTIF(X$4:X$33,"有/○")+COUNTIF(X$4:X$33,"有/〇"))</f>
        <v>0</v>
      </c>
      <c r="Y34" s="9">
        <f>COUNTIF(Y$4:Y$33,"○")+COUNTIF(Y$4:Y$33,"〇")+COUNTIF(Y$4:Y$33,"出")+COUNTIF(Y$4:Y$33,"早")+COUNTIF(Y$4:Y$33,"遅")+COUNTIF(Y$4:Y$33,"E")+COUNTIF(Y$4:Y$33,"8時")+COUNTIF(Y$4:Y$33,"ハヤ")+COUNTIF(Y$4:Y$33,"オソ")+COUNTIF(Y$4:Y$33,"イブ")+0.5*(COUNTIF(Y$4:Y$33,"○/休")+COUNTIF(Y$4:Y$33,"〇/休")+COUNTIF(Y$4:Y$33,"休/○")+COUNTIF(Y$4:Y$33,"休/〇")+COUNTIF(Y$4:Y$33,"○/有")+COUNTIF(Y$4:Y$33,"〇/有")+COUNTIF(Y$4:Y$33,"有/○")+COUNTIF(Y$4:Y$33,"有/〇"))</f>
        <v>0</v>
      </c>
      <c r="Z34" s="9">
        <f>COUNTIF(Z$4:Z$33,"○")+COUNTIF(Z$4:Z$33,"〇")+COUNTIF(Z$4:Z$33,"出")+COUNTIF(Z$4:Z$33,"早")+COUNTIF(Z$4:Z$33,"遅")+COUNTIF(Z$4:Z$33,"E")+COUNTIF(Z$4:Z$33,"8時")+COUNTIF(Z$4:Z$33,"ハヤ")+COUNTIF(Z$4:Z$33,"オソ")+COUNTIF(Z$4:Z$33,"イブ")+0.5*(COUNTIF(Z$4:Z$33,"○/休")+COUNTIF(Z$4:Z$33,"〇/休")+COUNTIF(Z$4:Z$33,"休/○")+COUNTIF(Z$4:Z$33,"休/〇")+COUNTIF(Z$4:Z$33,"○/有")+COUNTIF(Z$4:Z$33,"〇/有")+COUNTIF(Z$4:Z$33,"有/○")+COUNTIF(Z$4:Z$33,"有/〇"))</f>
        <v>0</v>
      </c>
      <c r="AA34" s="9">
        <f>COUNTIF(AA$4:AA$33,"○")+COUNTIF(AA$4:AA$33,"〇")+COUNTIF(AA$4:AA$33,"出")+COUNTIF(AA$4:AA$33,"早")+COUNTIF(AA$4:AA$33,"遅")+COUNTIF(AA$4:AA$33,"E")+COUNTIF(AA$4:AA$33,"8時")+COUNTIF(AA$4:AA$33,"ハヤ")+COUNTIF(AA$4:AA$33,"オソ")+COUNTIF(AA$4:AA$33,"イブ")+0.5*(COUNTIF(AA$4:AA$33,"○/休")+COUNTIF(AA$4:AA$33,"〇/休")+COUNTIF(AA$4:AA$33,"休/○")+COUNTIF(AA$4:AA$33,"休/〇")+COUNTIF(AA$4:AA$33,"○/有")+COUNTIF(AA$4:AA$33,"〇/有")+COUNTIF(AA$4:AA$33,"有/○")+COUNTIF(AA$4:AA$33,"有/〇"))</f>
        <v>0</v>
      </c>
      <c r="AB34" s="9">
        <f>COUNTIF(AB$4:AB$33,"○")+COUNTIF(AB$4:AB$33,"〇")+COUNTIF(AB$4:AB$33,"出")+COUNTIF(AB$4:AB$33,"早")+COUNTIF(AB$4:AB$33,"遅")+COUNTIF(AB$4:AB$33,"E")+COUNTIF(AB$4:AB$33,"8時")+COUNTIF(AB$4:AB$33,"ハヤ")+COUNTIF(AB$4:AB$33,"オソ")+COUNTIF(AB$4:AB$33,"イブ")+0.5*(COUNTIF(AB$4:AB$33,"○/休")+COUNTIF(AB$4:AB$33,"〇/休")+COUNTIF(AB$4:AB$33,"休/○")+COUNTIF(AB$4:AB$33,"休/〇")+COUNTIF(AB$4:AB$33,"○/有")+COUNTIF(AB$4:AB$33,"〇/有")+COUNTIF(AB$4:AB$33,"有/○")+COUNTIF(AB$4:AB$33,"有/〇"))</f>
        <v>0</v>
      </c>
      <c r="AC34" s="9">
        <f>COUNTIF(AC$4:AC$33,"○")+COUNTIF(AC$4:AC$33,"〇")+COUNTIF(AC$4:AC$33,"出")+COUNTIF(AC$4:AC$33,"早")+COUNTIF(AC$4:AC$33,"遅")+COUNTIF(AC$4:AC$33,"E")+COUNTIF(AC$4:AC$33,"8時")+COUNTIF(AC$4:AC$33,"ハヤ")+COUNTIF(AC$4:AC$33,"オソ")+COUNTIF(AC$4:AC$33,"イブ")+0.5*(COUNTIF(AC$4:AC$33,"○/休")+COUNTIF(AC$4:AC$33,"〇/休")+COUNTIF(AC$4:AC$33,"休/○")+COUNTIF(AC$4:AC$33,"休/〇")+COUNTIF(AC$4:AC$33,"○/有")+COUNTIF(AC$4:AC$33,"〇/有")+COUNTIF(AC$4:AC$33,"有/○")+COUNTIF(AC$4:AC$33,"有/〇"))</f>
        <v>0</v>
      </c>
      <c r="AD34" s="9">
        <f>SUM(B34:AC34)</f>
        <v>0</v>
      </c>
      <c r="AE34" s="13">
        <f>SUM(AE$4:AE$33)</f>
        <v>0</v>
      </c>
      <c r="AF34" s="13">
        <f>SUM(AF$4:AF$33)</f>
        <v>0</v>
      </c>
      <c r="AG34" s="13">
        <f>SUM(AG$4:AG$33)</f>
        <v>0</v>
      </c>
      <c r="AH34" s="13">
        <f>SUM(AH$4:AH$33)</f>
        <v>0</v>
      </c>
      <c r="AI34" s="13">
        <f>SUM(AI$4:AI$33)</f>
        <v>0</v>
      </c>
      <c r="AJ34" s="13">
        <f>SUM(AJ$4:AJ$33)</f>
        <v>0</v>
      </c>
      <c r="AK34" s="13">
        <f>SUM(AK$4:AK$33)</f>
        <v>0</v>
      </c>
      <c r="AL34" s="9" t="inlineStr">
        <is>
          <t>-</t>
        </is>
      </c>
    </row>
    <row r="35" ht="28.5" customHeight="1">
      <c r="A35" s="9" t="inlineStr">
        <is>
          <t>実数合計</t>
        </is>
      </c>
      <c r="B35" s="9">
        <f>B34</f>
        <v>0</v>
      </c>
      <c r="C35" s="9">
        <f>C34</f>
        <v>0</v>
      </c>
      <c r="D35" s="9">
        <f>D34</f>
        <v>0</v>
      </c>
      <c r="E35" s="9">
        <f>E34</f>
        <v>0</v>
      </c>
      <c r="F35" s="9">
        <f>F34</f>
        <v>0</v>
      </c>
      <c r="G35" s="9">
        <f>G34</f>
        <v>0</v>
      </c>
      <c r="H35" s="9">
        <f>H34</f>
        <v>0</v>
      </c>
      <c r="I35" s="9">
        <f>I34</f>
        <v>0</v>
      </c>
      <c r="J35" s="9">
        <f>J34</f>
        <v>0</v>
      </c>
      <c r="K35" s="9">
        <f>K34</f>
        <v>0</v>
      </c>
      <c r="L35" s="9">
        <f>L34</f>
        <v>0</v>
      </c>
      <c r="M35" s="9">
        <f>M34</f>
        <v>0</v>
      </c>
      <c r="N35" s="9">
        <f>N34</f>
        <v>0</v>
      </c>
      <c r="O35" s="9">
        <f>O34</f>
        <v>0</v>
      </c>
      <c r="P35" s="9">
        <f>P34</f>
        <v>0</v>
      </c>
      <c r="Q35" s="9">
        <f>Q34</f>
        <v>0</v>
      </c>
      <c r="R35" s="9">
        <f>R34</f>
        <v>0</v>
      </c>
      <c r="S35" s="9">
        <f>S34</f>
        <v>0</v>
      </c>
      <c r="T35" s="9">
        <f>T34</f>
        <v>0</v>
      </c>
      <c r="U35" s="9">
        <f>U34</f>
        <v>0</v>
      </c>
      <c r="V35" s="9">
        <f>V34</f>
        <v>0</v>
      </c>
      <c r="W35" s="9">
        <f>W34</f>
        <v>0</v>
      </c>
      <c r="X35" s="9">
        <f>X34</f>
        <v>0</v>
      </c>
      <c r="Y35" s="9">
        <f>Y34</f>
        <v>0</v>
      </c>
      <c r="Z35" s="9">
        <f>Z34</f>
        <v>0</v>
      </c>
      <c r="AA35" s="9">
        <f>AA34</f>
        <v>0</v>
      </c>
      <c r="AB35" s="9">
        <f>AB34</f>
        <v>0</v>
      </c>
      <c r="AC35" s="9">
        <f>AC34</f>
        <v>0</v>
      </c>
      <c r="AD35" s="9">
        <f>SUM(B35:AC35)</f>
        <v>0</v>
      </c>
      <c r="AE35" s="9" t="inlineStr">
        <is>
          <t>-</t>
        </is>
      </c>
      <c r="AF35" s="9" t="inlineStr">
        <is>
          <t>-</t>
        </is>
      </c>
      <c r="AG35" s="9" t="inlineStr">
        <is>
          <t>-</t>
        </is>
      </c>
      <c r="AH35" s="9" t="inlineStr">
        <is>
          <t>-</t>
        </is>
      </c>
      <c r="AI35" s="9" t="inlineStr">
        <is>
          <t>-</t>
        </is>
      </c>
      <c r="AJ35" s="9" t="inlineStr">
        <is>
          <t>-</t>
        </is>
      </c>
      <c r="AK35" s="9" t="inlineStr">
        <is>
          <t>-</t>
        </is>
      </c>
      <c r="AL35" s="9" t="inlineStr">
        <is>
          <t>-</t>
        </is>
      </c>
    </row>
    <row r="36" ht="20" customHeight="1">
      <c r="A36" s="10" t="inlineStr">
        <is>
          <t>早番 (早/ハヤ)</t>
        </is>
      </c>
      <c r="B36" s="10">
        <f>COUNTIF(B$4:B$33,"早")+COUNTIF(B$4:B$33,"ハヤ")</f>
        <v>0</v>
      </c>
      <c r="C36" s="10">
        <f>COUNTIF(C$4:C$33,"早")+COUNTIF(C$4:C$33,"ハヤ")</f>
        <v>0</v>
      </c>
      <c r="D36" s="10">
        <f>COUNTIF(D$4:D$33,"早")+COUNTIF(D$4:D$33,"ハヤ")</f>
        <v>0</v>
      </c>
      <c r="E36" s="10">
        <f>COUNTIF(E$4:E$33,"早")+COUNTIF(E$4:E$33,"ハヤ")</f>
        <v>0</v>
      </c>
      <c r="F36" s="10">
        <f>COUNTIF(F$4:F$33,"早")+COUNTIF(F$4:F$33,"ハヤ")</f>
        <v>0</v>
      </c>
      <c r="G36" s="10">
        <f>COUNTIF(G$4:G$33,"早")+COUNTIF(G$4:G$33,"ハヤ")</f>
        <v>0</v>
      </c>
      <c r="H36" s="10">
        <f>COUNTIF(H$4:H$33,"早")+COUNTIF(H$4:H$33,"ハヤ")</f>
        <v>0</v>
      </c>
      <c r="I36" s="10">
        <f>COUNTIF(I$4:I$33,"早")+COUNTIF(I$4:I$33,"ハヤ")</f>
        <v>0</v>
      </c>
      <c r="J36" s="10">
        <f>COUNTIF(J$4:J$33,"早")+COUNTIF(J$4:J$33,"ハヤ")</f>
        <v>0</v>
      </c>
      <c r="K36" s="10">
        <f>COUNTIF(K$4:K$33,"早")+COUNTIF(K$4:K$33,"ハヤ")</f>
        <v>0</v>
      </c>
      <c r="L36" s="10">
        <f>COUNTIF(L$4:L$33,"早")+COUNTIF(L$4:L$33,"ハヤ")</f>
        <v>0</v>
      </c>
      <c r="M36" s="10">
        <f>COUNTIF(M$4:M$33,"早")+COUNTIF(M$4:M$33,"ハヤ")</f>
        <v>0</v>
      </c>
      <c r="N36" s="10">
        <f>COUNTIF(N$4:N$33,"早")+COUNTIF(N$4:N$33,"ハヤ")</f>
        <v>0</v>
      </c>
      <c r="O36" s="10">
        <f>COUNTIF(O$4:O$33,"早")+COUNTIF(O$4:O$33,"ハヤ")</f>
        <v>0</v>
      </c>
      <c r="P36" s="10">
        <f>COUNTIF(P$4:P$33,"早")+COUNTIF(P$4:P$33,"ハヤ")</f>
        <v>0</v>
      </c>
      <c r="Q36" s="10">
        <f>COUNTIF(Q$4:Q$33,"早")+COUNTIF(Q$4:Q$33,"ハヤ")</f>
        <v>0</v>
      </c>
      <c r="R36" s="10">
        <f>COUNTIF(R$4:R$33,"早")+COUNTIF(R$4:R$33,"ハヤ")</f>
        <v>0</v>
      </c>
      <c r="S36" s="10">
        <f>COUNTIF(S$4:S$33,"早")+COUNTIF(S$4:S$33,"ハヤ")</f>
        <v>0</v>
      </c>
      <c r="T36" s="10">
        <f>COUNTIF(T$4:T$33,"早")+COUNTIF(T$4:T$33,"ハヤ")</f>
        <v>0</v>
      </c>
      <c r="U36" s="10">
        <f>COUNTIF(U$4:U$33,"早")+COUNTIF(U$4:U$33,"ハヤ")</f>
        <v>0</v>
      </c>
      <c r="V36" s="10">
        <f>COUNTIF(V$4:V$33,"早")+COUNTIF(V$4:V$33,"ハヤ")</f>
        <v>0</v>
      </c>
      <c r="W36" s="10">
        <f>COUNTIF(W$4:W$33,"早")+COUNTIF(W$4:W$33,"ハヤ")</f>
        <v>0</v>
      </c>
      <c r="X36" s="10">
        <f>COUNTIF(X$4:X$33,"早")+COUNTIF(X$4:X$33,"ハヤ")</f>
        <v>0</v>
      </c>
      <c r="Y36" s="10">
        <f>COUNTIF(Y$4:Y$33,"早")+COUNTIF(Y$4:Y$33,"ハヤ")</f>
        <v>0</v>
      </c>
      <c r="Z36" s="10">
        <f>COUNTIF(Z$4:Z$33,"早")+COUNTIF(Z$4:Z$33,"ハヤ")</f>
        <v>0</v>
      </c>
      <c r="AA36" s="10">
        <f>COUNTIF(AA$4:AA$33,"早")+COUNTIF(AA$4:AA$33,"ハヤ")</f>
        <v>0</v>
      </c>
      <c r="AB36" s="10">
        <f>COUNTIF(AB$4:AB$33,"早")+COUNTIF(AB$4:AB$33,"ハヤ")</f>
        <v>0</v>
      </c>
      <c r="AC36" s="10">
        <f>COUNTIF(AC$4:AC$33,"早")+COUNTIF(AC$4:AC$33,"ハヤ")</f>
        <v>0</v>
      </c>
      <c r="AD36" s="10">
        <f>SUM(B36:AC36)</f>
        <v>0</v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  <c r="AI36" s="10" t="inlineStr">
        <is>
          <t>-</t>
        </is>
      </c>
      <c r="AJ36" s="10" t="inlineStr">
        <is>
          <t>-</t>
        </is>
      </c>
      <c r="AK36" s="10" t="inlineStr">
        <is>
          <t>-</t>
        </is>
      </c>
      <c r="AL36" s="10" t="inlineStr">
        <is>
          <t>-</t>
        </is>
      </c>
    </row>
    <row r="37" ht="20" customHeight="1">
      <c r="A37" s="11" t="inlineStr">
        <is>
          <t>遅番 (遅/オソ)</t>
        </is>
      </c>
      <c r="B37" s="11">
        <f>COUNTIF(B$4:B$33,"遅")+COUNTIF(B$4:B$33,"オソ")</f>
        <v>0</v>
      </c>
      <c r="C37" s="11">
        <f>COUNTIF(C$4:C$33,"遅")+COUNTIF(C$4:C$33,"オソ")</f>
        <v>0</v>
      </c>
      <c r="D37" s="11">
        <f>COUNTIF(D$4:D$33,"遅")+COUNTIF(D$4:D$33,"オソ")</f>
        <v>0</v>
      </c>
      <c r="E37" s="11">
        <f>COUNTIF(E$4:E$33,"遅")+COUNTIF(E$4:E$33,"オソ")</f>
        <v>0</v>
      </c>
      <c r="F37" s="11">
        <f>COUNTIF(F$4:F$33,"遅")+COUNTIF(F$4:F$33,"オソ")</f>
        <v>0</v>
      </c>
      <c r="G37" s="11">
        <f>COUNTIF(G$4:G$33,"遅")+COUNTIF(G$4:G$33,"オソ")</f>
        <v>0</v>
      </c>
      <c r="H37" s="11">
        <f>COUNTIF(H$4:H$33,"遅")+COUNTIF(H$4:H$33,"オソ")</f>
        <v>0</v>
      </c>
      <c r="I37" s="11">
        <f>COUNTIF(I$4:I$33,"遅")+COUNTIF(I$4:I$33,"オソ")</f>
        <v>0</v>
      </c>
      <c r="J37" s="11">
        <f>COUNTIF(J$4:J$33,"遅")+COUNTIF(J$4:J$33,"オソ")</f>
        <v>0</v>
      </c>
      <c r="K37" s="11">
        <f>COUNTIF(K$4:K$33,"遅")+COUNTIF(K$4:K$33,"オソ")</f>
        <v>0</v>
      </c>
      <c r="L37" s="11">
        <f>COUNTIF(L$4:L$33,"遅")+COUNTIF(L$4:L$33,"オソ")</f>
        <v>0</v>
      </c>
      <c r="M37" s="11">
        <f>COUNTIF(M$4:M$33,"遅")+COUNTIF(M$4:M$33,"オソ")</f>
        <v>0</v>
      </c>
      <c r="N37" s="11">
        <f>COUNTIF(N$4:N$33,"遅")+COUNTIF(N$4:N$33,"オソ")</f>
        <v>0</v>
      </c>
      <c r="O37" s="11">
        <f>COUNTIF(O$4:O$33,"遅")+COUNTIF(O$4:O$33,"オソ")</f>
        <v>0</v>
      </c>
      <c r="P37" s="11">
        <f>COUNTIF(P$4:P$33,"遅")+COUNTIF(P$4:P$33,"オソ")</f>
        <v>0</v>
      </c>
      <c r="Q37" s="11">
        <f>COUNTIF(Q$4:Q$33,"遅")+COUNTIF(Q$4:Q$33,"オソ")</f>
        <v>0</v>
      </c>
      <c r="R37" s="11">
        <f>COUNTIF(R$4:R$33,"遅")+COUNTIF(R$4:R$33,"オソ")</f>
        <v>0</v>
      </c>
      <c r="S37" s="11">
        <f>COUNTIF(S$4:S$33,"遅")+COUNTIF(S$4:S$33,"オソ")</f>
        <v>0</v>
      </c>
      <c r="T37" s="11">
        <f>COUNTIF(T$4:T$33,"遅")+COUNTIF(T$4:T$33,"オソ")</f>
        <v>0</v>
      </c>
      <c r="U37" s="11">
        <f>COUNTIF(U$4:U$33,"遅")+COUNTIF(U$4:U$33,"オソ")</f>
        <v>0</v>
      </c>
      <c r="V37" s="11">
        <f>COUNTIF(V$4:V$33,"遅")+COUNTIF(V$4:V$33,"オソ")</f>
        <v>0</v>
      </c>
      <c r="W37" s="11">
        <f>COUNTIF(W$4:W$33,"遅")+COUNTIF(W$4:W$33,"オソ")</f>
        <v>0</v>
      </c>
      <c r="X37" s="11">
        <f>COUNTIF(X$4:X$33,"遅")+COUNTIF(X$4:X$33,"オソ")</f>
        <v>0</v>
      </c>
      <c r="Y37" s="11">
        <f>COUNTIF(Y$4:Y$33,"遅")+COUNTIF(Y$4:Y$33,"オソ")</f>
        <v>0</v>
      </c>
      <c r="Z37" s="11">
        <f>COUNTIF(Z$4:Z$33,"遅")+COUNTIF(Z$4:Z$33,"オソ")</f>
        <v>0</v>
      </c>
      <c r="AA37" s="11">
        <f>COUNTIF(AA$4:AA$33,"遅")+COUNTIF(AA$4:AA$33,"オソ")</f>
        <v>0</v>
      </c>
      <c r="AB37" s="11">
        <f>COUNTIF(AB$4:AB$33,"遅")+COUNTIF(AB$4:AB$33,"オソ")</f>
        <v>0</v>
      </c>
      <c r="AC37" s="11">
        <f>COUNTIF(AC$4:AC$33,"遅")+COUNTIF(AC$4:AC$33,"オソ")</f>
        <v>0</v>
      </c>
      <c r="AD37" s="11">
        <f>SUM(B37:AC37)</f>
        <v>0</v>
      </c>
      <c r="AE37" s="11" t="inlineStr">
        <is>
          <t>-</t>
        </is>
      </c>
      <c r="AF37" s="11" t="inlineStr">
        <is>
          <t>-</t>
        </is>
      </c>
      <c r="AG37" s="11" t="inlineStr">
        <is>
          <t>-</t>
        </is>
      </c>
      <c r="AH37" s="11" t="inlineStr">
        <is>
          <t>-</t>
        </is>
      </c>
      <c r="AI37" s="11" t="inlineStr">
        <is>
          <t>-</t>
        </is>
      </c>
      <c r="AJ37" s="11" t="inlineStr">
        <is>
          <t>-</t>
        </is>
      </c>
      <c r="AK37" s="11" t="inlineStr">
        <is>
          <t>-</t>
        </is>
      </c>
      <c r="AL37" s="11" t="inlineStr">
        <is>
          <t>-</t>
        </is>
      </c>
    </row>
    <row r="38" ht="20" customHeight="1">
      <c r="A38" s="12" t="inlineStr">
        <is>
          <t>イブニング (E/イブ)</t>
        </is>
      </c>
      <c r="B38" s="12">
        <f>COUNTIF(B$4:B$33,"E")+COUNTIF(B$4:B$33,"イブ")</f>
        <v>0</v>
      </c>
      <c r="C38" s="12">
        <f>COUNTIF(C$4:C$33,"E")+COUNTIF(C$4:C$33,"イブ")</f>
        <v>0</v>
      </c>
      <c r="D38" s="12">
        <f>COUNTIF(D$4:D$33,"E")+COUNTIF(D$4:D$33,"イブ")</f>
        <v>0</v>
      </c>
      <c r="E38" s="12">
        <f>COUNTIF(E$4:E$33,"E")+COUNTIF(E$4:E$33,"イブ")</f>
        <v>0</v>
      </c>
      <c r="F38" s="12">
        <f>COUNTIF(F$4:F$33,"E")+COUNTIF(F$4:F$33,"イブ")</f>
        <v>0</v>
      </c>
      <c r="G38" s="12">
        <f>COUNTIF(G$4:G$33,"E")+COUNTIF(G$4:G$33,"イブ")</f>
        <v>0</v>
      </c>
      <c r="H38" s="12">
        <f>COUNTIF(H$4:H$33,"E")+COUNTIF(H$4:H$33,"イブ")</f>
        <v>0</v>
      </c>
      <c r="I38" s="12">
        <f>COUNTIF(I$4:I$33,"E")+COUNTIF(I$4:I$33,"イブ")</f>
        <v>0</v>
      </c>
      <c r="J38" s="12">
        <f>COUNTIF(J$4:J$33,"E")+COUNTIF(J$4:J$33,"イブ")</f>
        <v>0</v>
      </c>
      <c r="K38" s="12">
        <f>COUNTIF(K$4:K$33,"E")+COUNTIF(K$4:K$33,"イブ")</f>
        <v>0</v>
      </c>
      <c r="L38" s="12">
        <f>COUNTIF(L$4:L$33,"E")+COUNTIF(L$4:L$33,"イブ")</f>
        <v>0</v>
      </c>
      <c r="M38" s="12">
        <f>COUNTIF(M$4:M$33,"E")+COUNTIF(M$4:M$33,"イブ")</f>
        <v>0</v>
      </c>
      <c r="N38" s="12">
        <f>COUNTIF(N$4:N$33,"E")+COUNTIF(N$4:N$33,"イブ")</f>
        <v>0</v>
      </c>
      <c r="O38" s="12">
        <f>COUNTIF(O$4:O$33,"E")+COUNTIF(O$4:O$33,"イブ")</f>
        <v>0</v>
      </c>
      <c r="P38" s="12">
        <f>COUNTIF(P$4:P$33,"E")+COUNTIF(P$4:P$33,"イブ")</f>
        <v>0</v>
      </c>
      <c r="Q38" s="12">
        <f>COUNTIF(Q$4:Q$33,"E")+COUNTIF(Q$4:Q$33,"イブ")</f>
        <v>0</v>
      </c>
      <c r="R38" s="12">
        <f>COUNTIF(R$4:R$33,"E")+COUNTIF(R$4:R$33,"イブ")</f>
        <v>0</v>
      </c>
      <c r="S38" s="12">
        <f>COUNTIF(S$4:S$33,"E")+COUNTIF(S$4:S$33,"イブ")</f>
        <v>0</v>
      </c>
      <c r="T38" s="12">
        <f>COUNTIF(T$4:T$33,"E")+COUNTIF(T$4:T$33,"イブ")</f>
        <v>0</v>
      </c>
      <c r="U38" s="12">
        <f>COUNTIF(U$4:U$33,"E")+COUNTIF(U$4:U$33,"イブ")</f>
        <v>0</v>
      </c>
      <c r="V38" s="12">
        <f>COUNTIF(V$4:V$33,"E")+COUNTIF(V$4:V$33,"イブ")</f>
        <v>0</v>
      </c>
      <c r="W38" s="12">
        <f>COUNTIF(W$4:W$33,"E")+COUNTIF(W$4:W$33,"イブ")</f>
        <v>0</v>
      </c>
      <c r="X38" s="12">
        <f>COUNTIF(X$4:X$33,"E")+COUNTIF(X$4:X$33,"イブ")</f>
        <v>0</v>
      </c>
      <c r="Y38" s="12">
        <f>COUNTIF(Y$4:Y$33,"E")+COUNTIF(Y$4:Y$33,"イブ")</f>
        <v>0</v>
      </c>
      <c r="Z38" s="12">
        <f>COUNTIF(Z$4:Z$33,"E")+COUNTIF(Z$4:Z$33,"イブ")</f>
        <v>0</v>
      </c>
      <c r="AA38" s="12">
        <f>COUNTIF(AA$4:AA$33,"E")+COUNTIF(AA$4:AA$33,"イブ")</f>
        <v>0</v>
      </c>
      <c r="AB38" s="12">
        <f>COUNTIF(AB$4:AB$33,"E")+COUNTIF(AB$4:AB$33,"イブ")</f>
        <v>0</v>
      </c>
      <c r="AC38" s="12">
        <f>COUNTIF(AC$4:AC$33,"E")+COUNTIF(AC$4:AC$33,"イブ")</f>
        <v>0</v>
      </c>
      <c r="AD38" s="12">
        <f>SUM(B38:AC38)</f>
        <v>0</v>
      </c>
      <c r="AE38" s="12" t="inlineStr">
        <is>
          <t>-</t>
        </is>
      </c>
      <c r="AF38" s="12" t="inlineStr">
        <is>
          <t>-</t>
        </is>
      </c>
      <c r="AG38" s="12" t="inlineStr">
        <is>
          <t>-</t>
        </is>
      </c>
      <c r="AH38" s="12" t="inlineStr">
        <is>
          <t>-</t>
        </is>
      </c>
      <c r="AI38" s="12" t="inlineStr">
        <is>
          <t>-</t>
        </is>
      </c>
      <c r="AJ38" s="12" t="inlineStr">
        <is>
          <t>-</t>
        </is>
      </c>
      <c r="AK38" s="12" t="inlineStr">
        <is>
          <t>-</t>
        </is>
      </c>
      <c r="AL38" s="12" t="inlineStr">
        <is>
          <t>-</t>
        </is>
      </c>
    </row>
    <row r="39" ht="20" customHeight="1">
      <c r="A39" s="13" t="inlineStr">
        <is>
          <t>8:00 (8時)</t>
        </is>
      </c>
      <c r="B39" s="13">
        <f>COUNTIF(B$4:B$33,"8時")</f>
        <v>0</v>
      </c>
      <c r="C39" s="13">
        <f>COUNTIF(C$4:C$33,"8時")</f>
        <v>0</v>
      </c>
      <c r="D39" s="13">
        <f>COUNTIF(D$4:D$33,"8時")</f>
        <v>0</v>
      </c>
      <c r="E39" s="13">
        <f>COUNTIF(E$4:E$33,"8時")</f>
        <v>0</v>
      </c>
      <c r="F39" s="13">
        <f>COUNTIF(F$4:F$33,"8時")</f>
        <v>0</v>
      </c>
      <c r="G39" s="13">
        <f>COUNTIF(G$4:G$33,"8時")</f>
        <v>0</v>
      </c>
      <c r="H39" s="13">
        <f>COUNTIF(H$4:H$33,"8時")</f>
        <v>0</v>
      </c>
      <c r="I39" s="13">
        <f>COUNTIF(I$4:I$33,"8時")</f>
        <v>0</v>
      </c>
      <c r="J39" s="13">
        <f>COUNTIF(J$4:J$33,"8時")</f>
        <v>0</v>
      </c>
      <c r="K39" s="13">
        <f>COUNTIF(K$4:K$33,"8時")</f>
        <v>0</v>
      </c>
      <c r="L39" s="13">
        <f>COUNTIF(L$4:L$33,"8時")</f>
        <v>0</v>
      </c>
      <c r="M39" s="13">
        <f>COUNTIF(M$4:M$33,"8時")</f>
        <v>0</v>
      </c>
      <c r="N39" s="13">
        <f>COUNTIF(N$4:N$33,"8時")</f>
        <v>0</v>
      </c>
      <c r="O39" s="13">
        <f>COUNTIF(O$4:O$33,"8時")</f>
        <v>0</v>
      </c>
      <c r="P39" s="13">
        <f>COUNTIF(P$4:P$33,"8時")</f>
        <v>0</v>
      </c>
      <c r="Q39" s="13">
        <f>COUNTIF(Q$4:Q$33,"8時")</f>
        <v>0</v>
      </c>
      <c r="R39" s="13">
        <f>COUNTIF(R$4:R$33,"8時")</f>
        <v>0</v>
      </c>
      <c r="S39" s="13">
        <f>COUNTIF(S$4:S$33,"8時")</f>
        <v>0</v>
      </c>
      <c r="T39" s="13">
        <f>COUNTIF(T$4:T$33,"8時")</f>
        <v>0</v>
      </c>
      <c r="U39" s="13">
        <f>COUNTIF(U$4:U$33,"8時")</f>
        <v>0</v>
      </c>
      <c r="V39" s="13">
        <f>COUNTIF(V$4:V$33,"8時")</f>
        <v>0</v>
      </c>
      <c r="W39" s="13">
        <f>COUNTIF(W$4:W$33,"8時")</f>
        <v>0</v>
      </c>
      <c r="X39" s="13">
        <f>COUNTIF(X$4:X$33,"8時")</f>
        <v>0</v>
      </c>
      <c r="Y39" s="13">
        <f>COUNTIF(Y$4:Y$33,"8時")</f>
        <v>0</v>
      </c>
      <c r="Z39" s="13">
        <f>COUNTIF(Z$4:Z$33,"8時")</f>
        <v>0</v>
      </c>
      <c r="AA39" s="13">
        <f>COUNTIF(AA$4:AA$33,"8時")</f>
        <v>0</v>
      </c>
      <c r="AB39" s="13">
        <f>COUNTIF(AB$4:AB$33,"8時")</f>
        <v>0</v>
      </c>
      <c r="AC39" s="13">
        <f>COUNTIF(AC$4:AC$33,"8時")</f>
        <v>0</v>
      </c>
      <c r="AD39" s="13">
        <f>SUM(B39:AC39)</f>
        <v>0</v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  <c r="AI39" s="13" t="inlineStr">
        <is>
          <t>-</t>
        </is>
      </c>
      <c r="AJ39" s="13" t="inlineStr">
        <is>
          <t>-</t>
        </is>
      </c>
      <c r="AK39" s="13" t="inlineStr">
        <is>
          <t>-</t>
        </is>
      </c>
      <c r="AL39" s="13" t="inlineStr">
        <is>
          <t>-</t>
        </is>
      </c>
    </row>
    <row r="40" ht="20" customHeight="1">
      <c r="A40" s="9" t="inlineStr">
        <is>
          <t>専従</t>
        </is>
      </c>
      <c r="B40" s="9">
        <f>IF(OR(B4="休",B4="有",B4="出",B4="上1",B4="上2",B4="上3",B4="上4",B4="上5",B4="下1",B4="下2",B4="下3",B4="ー"),0,1)+IF(OR(B5="休",B5="有",B5="出",B5="上1",B5="上2",B5="上3",B5="上4",B5="上5",B5="下1",B5="下2",B5="下3",B5="ー"),0,1)+IF(OR(B6="休",B6="有",B6="出",B6="上1",B6="上2",B6="上3",B6="上4",B6="上5",B6="下1",B6="下2",B6="下3",B6="ー"),0,1)+IF(OR(B7="休",B7="有",B7="出",B7="上1",B7="上2",B7="上3",B7="上4",B7="上5",B7="下1",B7="下2",B7="下3",B7="ー"),0,1)+IF(OR(B8="休",B8="有",B8="出",B8="上1",B8="上2",B8="上3",B8="上4",B8="上5",B8="下1",B8="下2",B8="下3",B8="ー"),0,1)+IF(OR(B9="休",B9="有",B9="出",B9="上1",B9="上2",B9="上3",B9="上4",B9="上5",B9="下1",B9="下2",B9="下3",B9="ー"),0,1)+IF(OR(B10="休",B10="有",B10="出",B10="上1",B10="上2",B10="上3",B10="上4",B10="上5",B10="下1",B10="下2",B10="下3",B10="ー"),0,1)+IF(OR(B11="休",B11="有",B11="出",B11="上1",B11="上2",B11="上3",B11="上4",B11="上5",B11="下1",B11="下2",B11="下3",B11="ー"),0,1)+IF(OR(B12="休",B12="有",B12="出",B12="上1",B12="上2",B12="上3",B12="上4",B12="上5",B12="下1",B12="下2",B12="下3",B12="ー"),0,1)+IF(OR(B13="休",B13="有",B13="出",B13="上1",B13="上2",B13="上3",B13="上4",B13="上5",B13="下1",B13="下2",B13="下3",B13="ー"),0,1)</f>
        <v>0</v>
      </c>
      <c r="C40" s="9">
        <f>IF(OR(C4="休",C4="有",C4="出",C4="上1",C4="上2",C4="上3",C4="上4",C4="上5",C4="下1",C4="下2",C4="下3",C4="ー"),0,1)+IF(OR(C5="休",C5="有",C5="出",C5="上1",C5="上2",C5="上3",C5="上4",C5="上5",C5="下1",C5="下2",C5="下3",C5="ー"),0,1)+IF(OR(C6="休",C6="有",C6="出",C6="上1",C6="上2",C6="上3",C6="上4",C6="上5",C6="下1",C6="下2",C6="下3",C6="ー"),0,1)+IF(OR(C7="休",C7="有",C7="出",C7="上1",C7="上2",C7="上3",C7="上4",C7="上5",C7="下1",C7="下2",C7="下3",C7="ー"),0,1)+IF(OR(C8="休",C8="有",C8="出",C8="上1",C8="上2",C8="上3",C8="上4",C8="上5",C8="下1",C8="下2",C8="下3",C8="ー"),0,1)+IF(OR(C9="休",C9="有",C9="出",C9="上1",C9="上2",C9="上3",C9="上4",C9="上5",C9="下1",C9="下2",C9="下3",C9="ー"),0,1)+IF(OR(C10="休",C10="有",C10="出",C10="上1",C10="上2",C10="上3",C10="上4",C10="上5",C10="下1",C10="下2",C10="下3",C10="ー"),0,1)+IF(OR(C11="休",C11="有",C11="出",C11="上1",C11="上2",C11="上3",C11="上4",C11="上5",C11="下1",C11="下2",C11="下3",C11="ー"),0,1)+IF(OR(C12="休",C12="有",C12="出",C12="上1",C12="上2",C12="上3",C12="上4",C12="上5",C12="下1",C12="下2",C12="下3",C12="ー"),0,1)+IF(OR(C13="休",C13="有",C13="出",C13="上1",C13="上2",C13="上3",C13="上4",C13="上5",C13="下1",C13="下2",C13="下3",C13="ー"),0,1)</f>
        <v>0</v>
      </c>
      <c r="D40" s="9">
        <f>IF(OR(D4="休",D4="有",D4="出",D4="上1",D4="上2",D4="上3",D4="上4",D4="上5",D4="下1",D4="下2",D4="下3",D4="ー"),0,1)+IF(OR(D5="休",D5="有",D5="出",D5="上1",D5="上2",D5="上3",D5="上4",D5="上5",D5="下1",D5="下2",D5="下3",D5="ー"),0,1)+IF(OR(D6="休",D6="有",D6="出",D6="上1",D6="上2",D6="上3",D6="上4",D6="上5",D6="下1",D6="下2",D6="下3",D6="ー"),0,1)+IF(OR(D7="休",D7="有",D7="出",D7="上1",D7="上2",D7="上3",D7="上4",D7="上5",D7="下1",D7="下2",D7="下3",D7="ー"),0,1)+IF(OR(D8="休",D8="有",D8="出",D8="上1",D8="上2",D8="上3",D8="上4",D8="上5",D8="下1",D8="下2",D8="下3",D8="ー"),0,1)+IF(OR(D9="休",D9="有",D9="出",D9="上1",D9="上2",D9="上3",D9="上4",D9="上5",D9="下1",D9="下2",D9="下3",D9="ー"),0,1)+IF(OR(D10="休",D10="有",D10="出",D10="上1",D10="上2",D10="上3",D10="上4",D10="上5",D10="下1",D10="下2",D10="下3",D10="ー"),0,1)+IF(OR(D11="休",D11="有",D11="出",D11="上1",D11="上2",D11="上3",D11="上4",D11="上5",D11="下1",D11="下2",D11="下3",D11="ー"),0,1)+IF(OR(D12="休",D12="有",D12="出",D12="上1",D12="上2",D12="上3",D12="上4",D12="上5",D12="下1",D12="下2",D12="下3",D12="ー"),0,1)+IF(OR(D13="休",D13="有",D13="出",D13="上1",D13="上2",D13="上3",D13="上4",D13="上5",D13="下1",D13="下2",D13="下3",D13="ー"),0,1)</f>
        <v>0</v>
      </c>
      <c r="E40" s="9">
        <f>IF(OR(E4="休",E4="有",E4="出",E4="上1",E4="上2",E4="上3",E4="上4",E4="上5",E4="下1",E4="下2",E4="下3",E4="ー"),0,1)+IF(OR(E5="休",E5="有",E5="出",E5="上1",E5="上2",E5="上3",E5="上4",E5="上5",E5="下1",E5="下2",E5="下3",E5="ー"),0,1)+IF(OR(E6="休",E6="有",E6="出",E6="上1",E6="上2",E6="上3",E6="上4",E6="上5",E6="下1",E6="下2",E6="下3",E6="ー"),0,1)+IF(OR(E7="休",E7="有",E7="出",E7="上1",E7="上2",E7="上3",E7="上4",E7="上5",E7="下1",E7="下2",E7="下3",E7="ー"),0,1)+IF(OR(E8="休",E8="有",E8="出",E8="上1",E8="上2",E8="上3",E8="上4",E8="上5",E8="下1",E8="下2",E8="下3",E8="ー"),0,1)+IF(OR(E9="休",E9="有",E9="出",E9="上1",E9="上2",E9="上3",E9="上4",E9="上5",E9="下1",E9="下2",E9="下3",E9="ー"),0,1)+IF(OR(E10="休",E10="有",E10="出",E10="上1",E10="上2",E10="上3",E10="上4",E10="上5",E10="下1",E10="下2",E10="下3",E10="ー"),0,1)+IF(OR(E11="休",E11="有",E11="出",E11="上1",E11="上2",E11="上3",E11="上4",E11="上5",E11="下1",E11="下2",E11="下3",E11="ー"),0,1)+IF(OR(E12="休",E12="有",E12="出",E12="上1",E12="上2",E12="上3",E12="上4",E12="上5",E12="下1",E12="下2",E12="下3",E12="ー"),0,1)+IF(OR(E13="休",E13="有",E13="出",E13="上1",E13="上2",E13="上3",E13="上4",E13="上5",E13="下1",E13="下2",E13="下3",E13="ー"),0,1)</f>
        <v>0</v>
      </c>
      <c r="F40" s="9">
        <f>IF(OR(F4="休",F4="有",F4="出",F4="上1",F4="上2",F4="上3",F4="上4",F4="上5",F4="下1",F4="下2",F4="下3",F4="ー"),0,1)+IF(OR(F5="休",F5="有",F5="出",F5="上1",F5="上2",F5="上3",F5="上4",F5="上5",F5="下1",F5="下2",F5="下3",F5="ー"),0,1)+IF(OR(F6="休",F6="有",F6="出",F6="上1",F6="上2",F6="上3",F6="上4",F6="上5",F6="下1",F6="下2",F6="下3",F6="ー"),0,1)+IF(OR(F7="休",F7="有",F7="出",F7="上1",F7="上2",F7="上3",F7="上4",F7="上5",F7="下1",F7="下2",F7="下3",F7="ー"),0,1)+IF(OR(F8="休",F8="有",F8="出",F8="上1",F8="上2",F8="上3",F8="上4",F8="上5",F8="下1",F8="下2",F8="下3",F8="ー"),0,1)+IF(OR(F9="休",F9="有",F9="出",F9="上1",F9="上2",F9="上3",F9="上4",F9="上5",F9="下1",F9="下2",F9="下3",F9="ー"),0,1)+IF(OR(F10="休",F10="有",F10="出",F10="上1",F10="上2",F10="上3",F10="上4",F10="上5",F10="下1",F10="下2",F10="下3",F10="ー"),0,1)+IF(OR(F11="休",F11="有",F11="出",F11="上1",F11="上2",F11="上3",F11="上4",F11="上5",F11="下1",F11="下2",F11="下3",F11="ー"),0,1)+IF(OR(F12="休",F12="有",F12="出",F12="上1",F12="上2",F12="上3",F12="上4",F12="上5",F12="下1",F12="下2",F12="下3",F12="ー"),0,1)+IF(OR(F13="休",F13="有",F13="出",F13="上1",F13="上2",F13="上3",F13="上4",F13="上5",F13="下1",F13="下2",F13="下3",F13="ー"),0,1)</f>
        <v>0</v>
      </c>
      <c r="G40" s="9">
        <f>IF(OR(G4="休",G4="有",G4="出",G4="上1",G4="上2",G4="上3",G4="上4",G4="上5",G4="下1",G4="下2",G4="下3",G4="ー"),0,1)+IF(OR(G5="休",G5="有",G5="出",G5="上1",G5="上2",G5="上3",G5="上4",G5="上5",G5="下1",G5="下2",G5="下3",G5="ー"),0,1)+IF(OR(G6="休",G6="有",G6="出",G6="上1",G6="上2",G6="上3",G6="上4",G6="上5",G6="下1",G6="下2",G6="下3",G6="ー"),0,1)+IF(OR(G7="休",G7="有",G7="出",G7="上1",G7="上2",G7="上3",G7="上4",G7="上5",G7="下1",G7="下2",G7="下3",G7="ー"),0,1)+IF(OR(G8="休",G8="有",G8="出",G8="上1",G8="上2",G8="上3",G8="上4",G8="上5",G8="下1",G8="下2",G8="下3",G8="ー"),0,1)+IF(OR(G9="休",G9="有",G9="出",G9="上1",G9="上2",G9="上3",G9="上4",G9="上5",G9="下1",G9="下2",G9="下3",G9="ー"),0,1)+IF(OR(G10="休",G10="有",G10="出",G10="上1",G10="上2",G10="上3",G10="上4",G10="上5",G10="下1",G10="下2",G10="下3",G10="ー"),0,1)+IF(OR(G11="休",G11="有",G11="出",G11="上1",G11="上2",G11="上3",G11="上4",G11="上5",G11="下1",G11="下2",G11="下3",G11="ー"),0,1)+IF(OR(G12="休",G12="有",G12="出",G12="上1",G12="上2",G12="上3",G12="上4",G12="上5",G12="下1",G12="下2",G12="下3",G12="ー"),0,1)+IF(OR(G13="休",G13="有",G13="出",G13="上1",G13="上2",G13="上3",G13="上4",G13="上5",G13="下1",G13="下2",G13="下3",G13="ー"),0,1)</f>
        <v>0</v>
      </c>
      <c r="H40" s="9">
        <f>IF(OR(H4="休",H4="有",H4="出",H4="上1",H4="上2",H4="上3",H4="上4",H4="上5",H4="下1",H4="下2",H4="下3",H4="ー"),0,1)+IF(OR(H5="休",H5="有",H5="出",H5="上1",H5="上2",H5="上3",H5="上4",H5="上5",H5="下1",H5="下2",H5="下3",H5="ー"),0,1)+IF(OR(H6="休",H6="有",H6="出",H6="上1",H6="上2",H6="上3",H6="上4",H6="上5",H6="下1",H6="下2",H6="下3",H6="ー"),0,1)+IF(OR(H7="休",H7="有",H7="出",H7="上1",H7="上2",H7="上3",H7="上4",H7="上5",H7="下1",H7="下2",H7="下3",H7="ー"),0,1)+IF(OR(H8="休",H8="有",H8="出",H8="上1",H8="上2",H8="上3",H8="上4",H8="上5",H8="下1",H8="下2",H8="下3",H8="ー"),0,1)+IF(OR(H9="休",H9="有",H9="出",H9="上1",H9="上2",H9="上3",H9="上4",H9="上5",H9="下1",H9="下2",H9="下3",H9="ー"),0,1)+IF(OR(H10="休",H10="有",H10="出",H10="上1",H10="上2",H10="上3",H10="上4",H10="上5",H10="下1",H10="下2",H10="下3",H10="ー"),0,1)+IF(OR(H11="休",H11="有",H11="出",H11="上1",H11="上2",H11="上3",H11="上4",H11="上5",H11="下1",H11="下2",H11="下3",H11="ー"),0,1)+IF(OR(H12="休",H12="有",H12="出",H12="上1",H12="上2",H12="上3",H12="上4",H12="上5",H12="下1",H12="下2",H12="下3",H12="ー"),0,1)+IF(OR(H13="休",H13="有",H13="出",H13="上1",H13="上2",H13="上3",H13="上4",H13="上5",H13="下1",H13="下2",H13="下3",H13="ー"),0,1)</f>
        <v>0</v>
      </c>
      <c r="I40" s="9">
        <f>IF(OR(I4="休",I4="有",I4="出",I4="上1",I4="上2",I4="上3",I4="上4",I4="上5",I4="下1",I4="下2",I4="下3",I4="ー"),0,1)+IF(OR(I5="休",I5="有",I5="出",I5="上1",I5="上2",I5="上3",I5="上4",I5="上5",I5="下1",I5="下2",I5="下3",I5="ー"),0,1)+IF(OR(I6="休",I6="有",I6="出",I6="上1",I6="上2",I6="上3",I6="上4",I6="上5",I6="下1",I6="下2",I6="下3",I6="ー"),0,1)+IF(OR(I7="休",I7="有",I7="出",I7="上1",I7="上2",I7="上3",I7="上4",I7="上5",I7="下1",I7="下2",I7="下3",I7="ー"),0,1)+IF(OR(I8="休",I8="有",I8="出",I8="上1",I8="上2",I8="上3",I8="上4",I8="上5",I8="下1",I8="下2",I8="下3",I8="ー"),0,1)+IF(OR(I9="休",I9="有",I9="出",I9="上1",I9="上2",I9="上3",I9="上4",I9="上5",I9="下1",I9="下2",I9="下3",I9="ー"),0,1)+IF(OR(I10="休",I10="有",I10="出",I10="上1",I10="上2",I10="上3",I10="上4",I10="上5",I10="下1",I10="下2",I10="下3",I10="ー"),0,1)+IF(OR(I11="休",I11="有",I11="出",I11="上1",I11="上2",I11="上3",I11="上4",I11="上5",I11="下1",I11="下2",I11="下3",I11="ー"),0,1)+IF(OR(I12="休",I12="有",I12="出",I12="上1",I12="上2",I12="上3",I12="上4",I12="上5",I12="下1",I12="下2",I12="下3",I12="ー"),0,1)+IF(OR(I13="休",I13="有",I13="出",I13="上1",I13="上2",I13="上3",I13="上4",I13="上5",I13="下1",I13="下2",I13="下3",I13="ー"),0,1)</f>
        <v>0</v>
      </c>
      <c r="J40" s="9">
        <f>IF(OR(J4="休",J4="有",J4="出",J4="上1",J4="上2",J4="上3",J4="上4",J4="上5",J4="下1",J4="下2",J4="下3",J4="ー"),0,1)+IF(OR(J5="休",J5="有",J5="出",J5="上1",J5="上2",J5="上3",J5="上4",J5="上5",J5="下1",J5="下2",J5="下3",J5="ー"),0,1)+IF(OR(J6="休",J6="有",J6="出",J6="上1",J6="上2",J6="上3",J6="上4",J6="上5",J6="下1",J6="下2",J6="下3",J6="ー"),0,1)+IF(OR(J7="休",J7="有",J7="出",J7="上1",J7="上2",J7="上3",J7="上4",J7="上5",J7="下1",J7="下2",J7="下3",J7="ー"),0,1)+IF(OR(J8="休",J8="有",J8="出",J8="上1",J8="上2",J8="上3",J8="上4",J8="上5",J8="下1",J8="下2",J8="下3",J8="ー"),0,1)+IF(OR(J9="休",J9="有",J9="出",J9="上1",J9="上2",J9="上3",J9="上4",J9="上5",J9="下1",J9="下2",J9="下3",J9="ー"),0,1)+IF(OR(J10="休",J10="有",J10="出",J10="上1",J10="上2",J10="上3",J10="上4",J10="上5",J10="下1",J10="下2",J10="下3",J10="ー"),0,1)+IF(OR(J11="休",J11="有",J11="出",J11="上1",J11="上2",J11="上3",J11="上4",J11="上5",J11="下1",J11="下2",J11="下3",J11="ー"),0,1)+IF(OR(J12="休",J12="有",J12="出",J12="上1",J12="上2",J12="上3",J12="上4",J12="上5",J12="下1",J12="下2",J12="下3",J12="ー"),0,1)+IF(OR(J13="休",J13="有",J13="出",J13="上1",J13="上2",J13="上3",J13="上4",J13="上5",J13="下1",J13="下2",J13="下3",J13="ー"),0,1)</f>
        <v>0</v>
      </c>
      <c r="K40" s="9">
        <f>IF(OR(K4="休",K4="有",K4="出",K4="上1",K4="上2",K4="上3",K4="上4",K4="上5",K4="下1",K4="下2",K4="下3",K4="ー"),0,1)+IF(OR(K5="休",K5="有",K5="出",K5="上1",K5="上2",K5="上3",K5="上4",K5="上5",K5="下1",K5="下2",K5="下3",K5="ー"),0,1)+IF(OR(K6="休",K6="有",K6="出",K6="上1",K6="上2",K6="上3",K6="上4",K6="上5",K6="下1",K6="下2",K6="下3",K6="ー"),0,1)+IF(OR(K7="休",K7="有",K7="出",K7="上1",K7="上2",K7="上3",K7="上4",K7="上5",K7="下1",K7="下2",K7="下3",K7="ー"),0,1)+IF(OR(K8="休",K8="有",K8="出",K8="上1",K8="上2",K8="上3",K8="上4",K8="上5",K8="下1",K8="下2",K8="下3",K8="ー"),0,1)+IF(OR(K9="休",K9="有",K9="出",K9="上1",K9="上2",K9="上3",K9="上4",K9="上5",K9="下1",K9="下2",K9="下3",K9="ー"),0,1)+IF(OR(K10="休",K10="有",K10="出",K10="上1",K10="上2",K10="上3",K10="上4",K10="上5",K10="下1",K10="下2",K10="下3",K10="ー"),0,1)+IF(OR(K11="休",K11="有",K11="出",K11="上1",K11="上2",K11="上3",K11="上4",K11="上5",K11="下1",K11="下2",K11="下3",K11="ー"),0,1)+IF(OR(K12="休",K12="有",K12="出",K12="上1",K12="上2",K12="上3",K12="上4",K12="上5",K12="下1",K12="下2",K12="下3",K12="ー"),0,1)+IF(OR(K13="休",K13="有",K13="出",K13="上1",K13="上2",K13="上3",K13="上4",K13="上5",K13="下1",K13="下2",K13="下3",K13="ー"),0,1)</f>
        <v>0</v>
      </c>
      <c r="L40" s="9">
        <f>IF(OR(L4="休",L4="有",L4="出",L4="上1",L4="上2",L4="上3",L4="上4",L4="上5",L4="下1",L4="下2",L4="下3",L4="ー"),0,1)+IF(OR(L5="休",L5="有",L5="出",L5="上1",L5="上2",L5="上3",L5="上4",L5="上5",L5="下1",L5="下2",L5="下3",L5="ー"),0,1)+IF(OR(L6="休",L6="有",L6="出",L6="上1",L6="上2",L6="上3",L6="上4",L6="上5",L6="下1",L6="下2",L6="下3",L6="ー"),0,1)+IF(OR(L7="休",L7="有",L7="出",L7="上1",L7="上2",L7="上3",L7="上4",L7="上5",L7="下1",L7="下2",L7="下3",L7="ー"),0,1)+IF(OR(L8="休",L8="有",L8="出",L8="上1",L8="上2",L8="上3",L8="上4",L8="上5",L8="下1",L8="下2",L8="下3",L8="ー"),0,1)+IF(OR(L9="休",L9="有",L9="出",L9="上1",L9="上2",L9="上3",L9="上4",L9="上5",L9="下1",L9="下2",L9="下3",L9="ー"),0,1)+IF(OR(L10="休",L10="有",L10="出",L10="上1",L10="上2",L10="上3",L10="上4",L10="上5",L10="下1",L10="下2",L10="下3",L10="ー"),0,1)+IF(OR(L11="休",L11="有",L11="出",L11="上1",L11="上2",L11="上3",L11="上4",L11="上5",L11="下1",L11="下2",L11="下3",L11="ー"),0,1)+IF(OR(L12="休",L12="有",L12="出",L12="上1",L12="上2",L12="上3",L12="上4",L12="上5",L12="下1",L12="下2",L12="下3",L12="ー"),0,1)+IF(OR(L13="休",L13="有",L13="出",L13="上1",L13="上2",L13="上3",L13="上4",L13="上5",L13="下1",L13="下2",L13="下3",L13="ー"),0,1)</f>
        <v>0</v>
      </c>
      <c r="M40" s="9">
        <f>IF(OR(M4="休",M4="有",M4="出",M4="上1",M4="上2",M4="上3",M4="上4",M4="上5",M4="下1",M4="下2",M4="下3",M4="ー"),0,1)+IF(OR(M5="休",M5="有",M5="出",M5="上1",M5="上2",M5="上3",M5="上4",M5="上5",M5="下1",M5="下2",M5="下3",M5="ー"),0,1)+IF(OR(M6="休",M6="有",M6="出",M6="上1",M6="上2",M6="上3",M6="上4",M6="上5",M6="下1",M6="下2",M6="下3",M6="ー"),0,1)+IF(OR(M7="休",M7="有",M7="出",M7="上1",M7="上2",M7="上3",M7="上4",M7="上5",M7="下1",M7="下2",M7="下3",M7="ー"),0,1)+IF(OR(M8="休",M8="有",M8="出",M8="上1",M8="上2",M8="上3",M8="上4",M8="上5",M8="下1",M8="下2",M8="下3",M8="ー"),0,1)+IF(OR(M9="休",M9="有",M9="出",M9="上1",M9="上2",M9="上3",M9="上4",M9="上5",M9="下1",M9="下2",M9="下3",M9="ー"),0,1)+IF(OR(M10="休",M10="有",M10="出",M10="上1",M10="上2",M10="上3",M10="上4",M10="上5",M10="下1",M10="下2",M10="下3",M10="ー"),0,1)+IF(OR(M11="休",M11="有",M11="出",M11="上1",M11="上2",M11="上3",M11="上4",M11="上5",M11="下1",M11="下2",M11="下3",M11="ー"),0,1)+IF(OR(M12="休",M12="有",M12="出",M12="上1",M12="上2",M12="上3",M12="上4",M12="上5",M12="下1",M12="下2",M12="下3",M12="ー"),0,1)+IF(OR(M13="休",M13="有",M13="出",M13="上1",M13="上2",M13="上3",M13="上4",M13="上5",M13="下1",M13="下2",M13="下3",M13="ー"),0,1)</f>
        <v>0</v>
      </c>
      <c r="N40" s="9">
        <f>IF(OR(N4="休",N4="有",N4="出",N4="上1",N4="上2",N4="上3",N4="上4",N4="上5",N4="下1",N4="下2",N4="下3",N4="ー"),0,1)+IF(OR(N5="休",N5="有",N5="出",N5="上1",N5="上2",N5="上3",N5="上4",N5="上5",N5="下1",N5="下2",N5="下3",N5="ー"),0,1)+IF(OR(N6="休",N6="有",N6="出",N6="上1",N6="上2",N6="上3",N6="上4",N6="上5",N6="下1",N6="下2",N6="下3",N6="ー"),0,1)+IF(OR(N7="休",N7="有",N7="出",N7="上1",N7="上2",N7="上3",N7="上4",N7="上5",N7="下1",N7="下2",N7="下3",N7="ー"),0,1)+IF(OR(N8="休",N8="有",N8="出",N8="上1",N8="上2",N8="上3",N8="上4",N8="上5",N8="下1",N8="下2",N8="下3",N8="ー"),0,1)+IF(OR(N9="休",N9="有",N9="出",N9="上1",N9="上2",N9="上3",N9="上4",N9="上5",N9="下1",N9="下2",N9="下3",N9="ー"),0,1)+IF(OR(N10="休",N10="有",N10="出",N10="上1",N10="上2",N10="上3",N10="上4",N10="上5",N10="下1",N10="下2",N10="下3",N10="ー"),0,1)+IF(OR(N11="休",N11="有",N11="出",N11="上1",N11="上2",N11="上3",N11="上4",N11="上5",N11="下1",N11="下2",N11="下3",N11="ー"),0,1)+IF(OR(N12="休",N12="有",N12="出",N12="上1",N12="上2",N12="上3",N12="上4",N12="上5",N12="下1",N12="下2",N12="下3",N12="ー"),0,1)+IF(OR(N13="休",N13="有",N13="出",N13="上1",N13="上2",N13="上3",N13="上4",N13="上5",N13="下1",N13="下2",N13="下3",N13="ー"),0,1)</f>
        <v>0</v>
      </c>
      <c r="O40" s="9">
        <f>IF(OR(O4="休",O4="有",O4="出",O4="上1",O4="上2",O4="上3",O4="上4",O4="上5",O4="下1",O4="下2",O4="下3",O4="ー"),0,1)+IF(OR(O5="休",O5="有",O5="出",O5="上1",O5="上2",O5="上3",O5="上4",O5="上5",O5="下1",O5="下2",O5="下3",O5="ー"),0,1)+IF(OR(O6="休",O6="有",O6="出",O6="上1",O6="上2",O6="上3",O6="上4",O6="上5",O6="下1",O6="下2",O6="下3",O6="ー"),0,1)+IF(OR(O7="休",O7="有",O7="出",O7="上1",O7="上2",O7="上3",O7="上4",O7="上5",O7="下1",O7="下2",O7="下3",O7="ー"),0,1)+IF(OR(O8="休",O8="有",O8="出",O8="上1",O8="上2",O8="上3",O8="上4",O8="上5",O8="下1",O8="下2",O8="下3",O8="ー"),0,1)+IF(OR(O9="休",O9="有",O9="出",O9="上1",O9="上2",O9="上3",O9="上4",O9="上5",O9="下1",O9="下2",O9="下3",O9="ー"),0,1)+IF(OR(O10="休",O10="有",O10="出",O10="上1",O10="上2",O10="上3",O10="上4",O10="上5",O10="下1",O10="下2",O10="下3",O10="ー"),0,1)+IF(OR(O11="休",O11="有",O11="出",O11="上1",O11="上2",O11="上3",O11="上4",O11="上5",O11="下1",O11="下2",O11="下3",O11="ー"),0,1)+IF(OR(O12="休",O12="有",O12="出",O12="上1",O12="上2",O12="上3",O12="上4",O12="上5",O12="下1",O12="下2",O12="下3",O12="ー"),0,1)+IF(OR(O13="休",O13="有",O13="出",O13="上1",O13="上2",O13="上3",O13="上4",O13="上5",O13="下1",O13="下2",O13="下3",O13="ー"),0,1)</f>
        <v>0</v>
      </c>
      <c r="P40" s="9">
        <f>IF(OR(P4="休",P4="有",P4="出",P4="上1",P4="上2",P4="上3",P4="上4",P4="上5",P4="下1",P4="下2",P4="下3",P4="ー"),0,1)+IF(OR(P5="休",P5="有",P5="出",P5="上1",P5="上2",P5="上3",P5="上4",P5="上5",P5="下1",P5="下2",P5="下3",P5="ー"),0,1)+IF(OR(P6="休",P6="有",P6="出",P6="上1",P6="上2",P6="上3",P6="上4",P6="上5",P6="下1",P6="下2",P6="下3",P6="ー"),0,1)+IF(OR(P7="休",P7="有",P7="出",P7="上1",P7="上2",P7="上3",P7="上4",P7="上5",P7="下1",P7="下2",P7="下3",P7="ー"),0,1)+IF(OR(P8="休",P8="有",P8="出",P8="上1",P8="上2",P8="上3",P8="上4",P8="上5",P8="下1",P8="下2",P8="下3",P8="ー"),0,1)+IF(OR(P9="休",P9="有",P9="出",P9="上1",P9="上2",P9="上3",P9="上4",P9="上5",P9="下1",P9="下2",P9="下3",P9="ー"),0,1)+IF(OR(P10="休",P10="有",P10="出",P10="上1",P10="上2",P10="上3",P10="上4",P10="上5",P10="下1",P10="下2",P10="下3",P10="ー"),0,1)+IF(OR(P11="休",P11="有",P11="出",P11="上1",P11="上2",P11="上3",P11="上4",P11="上5",P11="下1",P11="下2",P11="下3",P11="ー"),0,1)+IF(OR(P12="休",P12="有",P12="出",P12="上1",P12="上2",P12="上3",P12="上4",P12="上5",P12="下1",P12="下2",P12="下3",P12="ー"),0,1)+IF(OR(P13="休",P13="有",P13="出",P13="上1",P13="上2",P13="上3",P13="上4",P13="上5",P13="下1",P13="下2",P13="下3",P13="ー"),0,1)</f>
        <v>0</v>
      </c>
      <c r="Q40" s="9">
        <f>IF(OR(Q4="休",Q4="有",Q4="出",Q4="上1",Q4="上2",Q4="上3",Q4="上4",Q4="上5",Q4="下1",Q4="下2",Q4="下3",Q4="ー"),0,1)+IF(OR(Q5="休",Q5="有",Q5="出",Q5="上1",Q5="上2",Q5="上3",Q5="上4",Q5="上5",Q5="下1",Q5="下2",Q5="下3",Q5="ー"),0,1)+IF(OR(Q6="休",Q6="有",Q6="出",Q6="上1",Q6="上2",Q6="上3",Q6="上4",Q6="上5",Q6="下1",Q6="下2",Q6="下3",Q6="ー"),0,1)+IF(OR(Q7="休",Q7="有",Q7="出",Q7="上1",Q7="上2",Q7="上3",Q7="上4",Q7="上5",Q7="下1",Q7="下2",Q7="下3",Q7="ー"),0,1)+IF(OR(Q8="休",Q8="有",Q8="出",Q8="上1",Q8="上2",Q8="上3",Q8="上4",Q8="上5",Q8="下1",Q8="下2",Q8="下3",Q8="ー"),0,1)+IF(OR(Q9="休",Q9="有",Q9="出",Q9="上1",Q9="上2",Q9="上3",Q9="上4",Q9="上5",Q9="下1",Q9="下2",Q9="下3",Q9="ー"),0,1)+IF(OR(Q10="休",Q10="有",Q10="出",Q10="上1",Q10="上2",Q10="上3",Q10="上4",Q10="上5",Q10="下1",Q10="下2",Q10="下3",Q10="ー"),0,1)+IF(OR(Q11="休",Q11="有",Q11="出",Q11="上1",Q11="上2",Q11="上3",Q11="上4",Q11="上5",Q11="下1",Q11="下2",Q11="下3",Q11="ー"),0,1)+IF(OR(Q12="休",Q12="有",Q12="出",Q12="上1",Q12="上2",Q12="上3",Q12="上4",Q12="上5",Q12="下1",Q12="下2",Q12="下3",Q12="ー"),0,1)+IF(OR(Q13="休",Q13="有",Q13="出",Q13="上1",Q13="上2",Q13="上3",Q13="上4",Q13="上5",Q13="下1",Q13="下2",Q13="下3",Q13="ー"),0,1)</f>
        <v>0</v>
      </c>
      <c r="R40" s="9">
        <f>IF(OR(R4="休",R4="有",R4="出",R4="上1",R4="上2",R4="上3",R4="上4",R4="上5",R4="下1",R4="下2",R4="下3",R4="ー"),0,1)+IF(OR(R5="休",R5="有",R5="出",R5="上1",R5="上2",R5="上3",R5="上4",R5="上5",R5="下1",R5="下2",R5="下3",R5="ー"),0,1)+IF(OR(R6="休",R6="有",R6="出",R6="上1",R6="上2",R6="上3",R6="上4",R6="上5",R6="下1",R6="下2",R6="下3",R6="ー"),0,1)+IF(OR(R7="休",R7="有",R7="出",R7="上1",R7="上2",R7="上3",R7="上4",R7="上5",R7="下1",R7="下2",R7="下3",R7="ー"),0,1)+IF(OR(R8="休",R8="有",R8="出",R8="上1",R8="上2",R8="上3",R8="上4",R8="上5",R8="下1",R8="下2",R8="下3",R8="ー"),0,1)+IF(OR(R9="休",R9="有",R9="出",R9="上1",R9="上2",R9="上3",R9="上4",R9="上5",R9="下1",R9="下2",R9="下3",R9="ー"),0,1)+IF(OR(R10="休",R10="有",R10="出",R10="上1",R10="上2",R10="上3",R10="上4",R10="上5",R10="下1",R10="下2",R10="下3",R10="ー"),0,1)+IF(OR(R11="休",R11="有",R11="出",R11="上1",R11="上2",R11="上3",R11="上4",R11="上5",R11="下1",R11="下2",R11="下3",R11="ー"),0,1)+IF(OR(R12="休",R12="有",R12="出",R12="上1",R12="上2",R12="上3",R12="上4",R12="上5",R12="下1",R12="下2",R12="下3",R12="ー"),0,1)+IF(OR(R13="休",R13="有",R13="出",R13="上1",R13="上2",R13="上3",R13="上4",R13="上5",R13="下1",R13="下2",R13="下3",R13="ー"),0,1)</f>
        <v>0</v>
      </c>
      <c r="S40" s="9">
        <f>IF(OR(S4="休",S4="有",S4="出",S4="上1",S4="上2",S4="上3",S4="上4",S4="上5",S4="下1",S4="下2",S4="下3",S4="ー"),0,1)+IF(OR(S5="休",S5="有",S5="出",S5="上1",S5="上2",S5="上3",S5="上4",S5="上5",S5="下1",S5="下2",S5="下3",S5="ー"),0,1)+IF(OR(S6="休",S6="有",S6="出",S6="上1",S6="上2",S6="上3",S6="上4",S6="上5",S6="下1",S6="下2",S6="下3",S6="ー"),0,1)+IF(OR(S7="休",S7="有",S7="出",S7="上1",S7="上2",S7="上3",S7="上4",S7="上5",S7="下1",S7="下2",S7="下3",S7="ー"),0,1)+IF(OR(S8="休",S8="有",S8="出",S8="上1",S8="上2",S8="上3",S8="上4",S8="上5",S8="下1",S8="下2",S8="下3",S8="ー"),0,1)+IF(OR(S9="休",S9="有",S9="出",S9="上1",S9="上2",S9="上3",S9="上4",S9="上5",S9="下1",S9="下2",S9="下3",S9="ー"),0,1)+IF(OR(S10="休",S10="有",S10="出",S10="上1",S10="上2",S10="上3",S10="上4",S10="上5",S10="下1",S10="下2",S10="下3",S10="ー"),0,1)+IF(OR(S11="休",S11="有",S11="出",S11="上1",S11="上2",S11="上3",S11="上4",S11="上5",S11="下1",S11="下2",S11="下3",S11="ー"),0,1)+IF(OR(S12="休",S12="有",S12="出",S12="上1",S12="上2",S12="上3",S12="上4",S12="上5",S12="下1",S12="下2",S12="下3",S12="ー"),0,1)+IF(OR(S13="休",S13="有",S13="出",S13="上1",S13="上2",S13="上3",S13="上4",S13="上5",S13="下1",S13="下2",S13="下3",S13="ー"),0,1)</f>
        <v>0</v>
      </c>
      <c r="T40" s="9">
        <f>IF(OR(T4="休",T4="有",T4="出",T4="上1",T4="上2",T4="上3",T4="上4",T4="上5",T4="下1",T4="下2",T4="下3",T4="ー"),0,1)+IF(OR(T5="休",T5="有",T5="出",T5="上1",T5="上2",T5="上3",T5="上4",T5="上5",T5="下1",T5="下2",T5="下3",T5="ー"),0,1)+IF(OR(T6="休",T6="有",T6="出",T6="上1",T6="上2",T6="上3",T6="上4",T6="上5",T6="下1",T6="下2",T6="下3",T6="ー"),0,1)+IF(OR(T7="休",T7="有",T7="出",T7="上1",T7="上2",T7="上3",T7="上4",T7="上5",T7="下1",T7="下2",T7="下3",T7="ー"),0,1)+IF(OR(T8="休",T8="有",T8="出",T8="上1",T8="上2",T8="上3",T8="上4",T8="上5",T8="下1",T8="下2",T8="下3",T8="ー"),0,1)+IF(OR(T9="休",T9="有",T9="出",T9="上1",T9="上2",T9="上3",T9="上4",T9="上5",T9="下1",T9="下2",T9="下3",T9="ー"),0,1)+IF(OR(T10="休",T10="有",T10="出",T10="上1",T10="上2",T10="上3",T10="上4",T10="上5",T10="下1",T10="下2",T10="下3",T10="ー"),0,1)+IF(OR(T11="休",T11="有",T11="出",T11="上1",T11="上2",T11="上3",T11="上4",T11="上5",T11="下1",T11="下2",T11="下3",T11="ー"),0,1)+IF(OR(T12="休",T12="有",T12="出",T12="上1",T12="上2",T12="上3",T12="上4",T12="上5",T12="下1",T12="下2",T12="下3",T12="ー"),0,1)+IF(OR(T13="休",T13="有",T13="出",T13="上1",T13="上2",T13="上3",T13="上4",T13="上5",T13="下1",T13="下2",T13="下3",T13="ー"),0,1)</f>
        <v>0</v>
      </c>
      <c r="U40" s="9">
        <f>IF(OR(U4="休",U4="有",U4="出",U4="上1",U4="上2",U4="上3",U4="上4",U4="上5",U4="下1",U4="下2",U4="下3",U4="ー"),0,1)+IF(OR(U5="休",U5="有",U5="出",U5="上1",U5="上2",U5="上3",U5="上4",U5="上5",U5="下1",U5="下2",U5="下3",U5="ー"),0,1)+IF(OR(U6="休",U6="有",U6="出",U6="上1",U6="上2",U6="上3",U6="上4",U6="上5",U6="下1",U6="下2",U6="下3",U6="ー"),0,1)+IF(OR(U7="休",U7="有",U7="出",U7="上1",U7="上2",U7="上3",U7="上4",U7="上5",U7="下1",U7="下2",U7="下3",U7="ー"),0,1)+IF(OR(U8="休",U8="有",U8="出",U8="上1",U8="上2",U8="上3",U8="上4",U8="上5",U8="下1",U8="下2",U8="下3",U8="ー"),0,1)+IF(OR(U9="休",U9="有",U9="出",U9="上1",U9="上2",U9="上3",U9="上4",U9="上5",U9="下1",U9="下2",U9="下3",U9="ー"),0,1)+IF(OR(U10="休",U10="有",U10="出",U10="上1",U10="上2",U10="上3",U10="上4",U10="上5",U10="下1",U10="下2",U10="下3",U10="ー"),0,1)+IF(OR(U11="休",U11="有",U11="出",U11="上1",U11="上2",U11="上3",U11="上4",U11="上5",U11="下1",U11="下2",U11="下3",U11="ー"),0,1)+IF(OR(U12="休",U12="有",U12="出",U12="上1",U12="上2",U12="上3",U12="上4",U12="上5",U12="下1",U12="下2",U12="下3",U12="ー"),0,1)+IF(OR(U13="休",U13="有",U13="出",U13="上1",U13="上2",U13="上3",U13="上4",U13="上5",U13="下1",U13="下2",U13="下3",U13="ー"),0,1)</f>
        <v>0</v>
      </c>
      <c r="V40" s="9">
        <f>IF(OR(V4="休",V4="有",V4="出",V4="上1",V4="上2",V4="上3",V4="上4",V4="上5",V4="下1",V4="下2",V4="下3",V4="ー"),0,1)+IF(OR(V5="休",V5="有",V5="出",V5="上1",V5="上2",V5="上3",V5="上4",V5="上5",V5="下1",V5="下2",V5="下3",V5="ー"),0,1)+IF(OR(V6="休",V6="有",V6="出",V6="上1",V6="上2",V6="上3",V6="上4",V6="上5",V6="下1",V6="下2",V6="下3",V6="ー"),0,1)+IF(OR(V7="休",V7="有",V7="出",V7="上1",V7="上2",V7="上3",V7="上4",V7="上5",V7="下1",V7="下2",V7="下3",V7="ー"),0,1)+IF(OR(V8="休",V8="有",V8="出",V8="上1",V8="上2",V8="上3",V8="上4",V8="上5",V8="下1",V8="下2",V8="下3",V8="ー"),0,1)+IF(OR(V9="休",V9="有",V9="出",V9="上1",V9="上2",V9="上3",V9="上4",V9="上5",V9="下1",V9="下2",V9="下3",V9="ー"),0,1)+IF(OR(V10="休",V10="有",V10="出",V10="上1",V10="上2",V10="上3",V10="上4",V10="上5",V10="下1",V10="下2",V10="下3",V10="ー"),0,1)+IF(OR(V11="休",V11="有",V11="出",V11="上1",V11="上2",V11="上3",V11="上4",V11="上5",V11="下1",V11="下2",V11="下3",V11="ー"),0,1)+IF(OR(V12="休",V12="有",V12="出",V12="上1",V12="上2",V12="上3",V12="上4",V12="上5",V12="下1",V12="下2",V12="下3",V12="ー"),0,1)+IF(OR(V13="休",V13="有",V13="出",V13="上1",V13="上2",V13="上3",V13="上4",V13="上5",V13="下1",V13="下2",V13="下3",V13="ー"),0,1)</f>
        <v>0</v>
      </c>
      <c r="W40" s="9">
        <f>IF(OR(W4="休",W4="有",W4="出",W4="上1",W4="上2",W4="上3",W4="上4",W4="上5",W4="下1",W4="下2",W4="下3",W4="ー"),0,1)+IF(OR(W5="休",W5="有",W5="出",W5="上1",W5="上2",W5="上3",W5="上4",W5="上5",W5="下1",W5="下2",W5="下3",W5="ー"),0,1)+IF(OR(W6="休",W6="有",W6="出",W6="上1",W6="上2",W6="上3",W6="上4",W6="上5",W6="下1",W6="下2",W6="下3",W6="ー"),0,1)+IF(OR(W7="休",W7="有",W7="出",W7="上1",W7="上2",W7="上3",W7="上4",W7="上5",W7="下1",W7="下2",W7="下3",W7="ー"),0,1)+IF(OR(W8="休",W8="有",W8="出",W8="上1",W8="上2",W8="上3",W8="上4",W8="上5",W8="下1",W8="下2",W8="下3",W8="ー"),0,1)+IF(OR(W9="休",W9="有",W9="出",W9="上1",W9="上2",W9="上3",W9="上4",W9="上5",W9="下1",W9="下2",W9="下3",W9="ー"),0,1)+IF(OR(W10="休",W10="有",W10="出",W10="上1",W10="上2",W10="上3",W10="上4",W10="上5",W10="下1",W10="下2",W10="下3",W10="ー"),0,1)+IF(OR(W11="休",W11="有",W11="出",W11="上1",W11="上2",W11="上3",W11="上4",W11="上5",W11="下1",W11="下2",W11="下3",W11="ー"),0,1)+IF(OR(W12="休",W12="有",W12="出",W12="上1",W12="上2",W12="上3",W12="上4",W12="上5",W12="下1",W12="下2",W12="下3",W12="ー"),0,1)+IF(OR(W13="休",W13="有",W13="出",W13="上1",W13="上2",W13="上3",W13="上4",W13="上5",W13="下1",W13="下2",W13="下3",W13="ー"),0,1)</f>
        <v>0</v>
      </c>
      <c r="X40" s="9">
        <f>IF(OR(X4="休",X4="有",X4="出",X4="上1",X4="上2",X4="上3",X4="上4",X4="上5",X4="下1",X4="下2",X4="下3",X4="ー"),0,1)+IF(OR(X5="休",X5="有",X5="出",X5="上1",X5="上2",X5="上3",X5="上4",X5="上5",X5="下1",X5="下2",X5="下3",X5="ー"),0,1)+IF(OR(X6="休",X6="有",X6="出",X6="上1",X6="上2",X6="上3",X6="上4",X6="上5",X6="下1",X6="下2",X6="下3",X6="ー"),0,1)+IF(OR(X7="休",X7="有",X7="出",X7="上1",X7="上2",X7="上3",X7="上4",X7="上5",X7="下1",X7="下2",X7="下3",X7="ー"),0,1)+IF(OR(X8="休",X8="有",X8="出",X8="上1",X8="上2",X8="上3",X8="上4",X8="上5",X8="下1",X8="下2",X8="下3",X8="ー"),0,1)+IF(OR(X9="休",X9="有",X9="出",X9="上1",X9="上2",X9="上3",X9="上4",X9="上5",X9="下1",X9="下2",X9="下3",X9="ー"),0,1)+IF(OR(X10="休",X10="有",X10="出",X10="上1",X10="上2",X10="上3",X10="上4",X10="上5",X10="下1",X10="下2",X10="下3",X10="ー"),0,1)+IF(OR(X11="休",X11="有",X11="出",X11="上1",X11="上2",X11="上3",X11="上4",X11="上5",X11="下1",X11="下2",X11="下3",X11="ー"),0,1)+IF(OR(X12="休",X12="有",X12="出",X12="上1",X12="上2",X12="上3",X12="上4",X12="上5",X12="下1",X12="下2",X12="下3",X12="ー"),0,1)+IF(OR(X13="休",X13="有",X13="出",X13="上1",X13="上2",X13="上3",X13="上4",X13="上5",X13="下1",X13="下2",X13="下3",X13="ー"),0,1)</f>
        <v>0</v>
      </c>
      <c r="Y40" s="9">
        <f>IF(OR(Y4="休",Y4="有",Y4="出",Y4="上1",Y4="上2",Y4="上3",Y4="上4",Y4="上5",Y4="下1",Y4="下2",Y4="下3",Y4="ー"),0,1)+IF(OR(Y5="休",Y5="有",Y5="出",Y5="上1",Y5="上2",Y5="上3",Y5="上4",Y5="上5",Y5="下1",Y5="下2",Y5="下3",Y5="ー"),0,1)+IF(OR(Y6="休",Y6="有",Y6="出",Y6="上1",Y6="上2",Y6="上3",Y6="上4",Y6="上5",Y6="下1",Y6="下2",Y6="下3",Y6="ー"),0,1)+IF(OR(Y7="休",Y7="有",Y7="出",Y7="上1",Y7="上2",Y7="上3",Y7="上4",Y7="上5",Y7="下1",Y7="下2",Y7="下3",Y7="ー"),0,1)+IF(OR(Y8="休",Y8="有",Y8="出",Y8="上1",Y8="上2",Y8="上3",Y8="上4",Y8="上5",Y8="下1",Y8="下2",Y8="下3",Y8="ー"),0,1)+IF(OR(Y9="休",Y9="有",Y9="出",Y9="上1",Y9="上2",Y9="上3",Y9="上4",Y9="上5",Y9="下1",Y9="下2",Y9="下3",Y9="ー"),0,1)+IF(OR(Y10="休",Y10="有",Y10="出",Y10="上1",Y10="上2",Y10="上3",Y10="上4",Y10="上5",Y10="下1",Y10="下2",Y10="下3",Y10="ー"),0,1)+IF(OR(Y11="休",Y11="有",Y11="出",Y11="上1",Y11="上2",Y11="上3",Y11="上4",Y11="上5",Y11="下1",Y11="下2",Y11="下3",Y11="ー"),0,1)+IF(OR(Y12="休",Y12="有",Y12="出",Y12="上1",Y12="上2",Y12="上3",Y12="上4",Y12="上5",Y12="下1",Y12="下2",Y12="下3",Y12="ー"),0,1)+IF(OR(Y13="休",Y13="有",Y13="出",Y13="上1",Y13="上2",Y13="上3",Y13="上4",Y13="上5",Y13="下1",Y13="下2",Y13="下3",Y13="ー"),0,1)</f>
        <v>0</v>
      </c>
      <c r="Z40" s="9">
        <f>IF(OR(Z4="休",Z4="有",Z4="出",Z4="上1",Z4="上2",Z4="上3",Z4="上4",Z4="上5",Z4="下1",Z4="下2",Z4="下3",Z4="ー"),0,1)+IF(OR(Z5="休",Z5="有",Z5="出",Z5="上1",Z5="上2",Z5="上3",Z5="上4",Z5="上5",Z5="下1",Z5="下2",Z5="下3",Z5="ー"),0,1)+IF(OR(Z6="休",Z6="有",Z6="出",Z6="上1",Z6="上2",Z6="上3",Z6="上4",Z6="上5",Z6="下1",Z6="下2",Z6="下3",Z6="ー"),0,1)+IF(OR(Z7="休",Z7="有",Z7="出",Z7="上1",Z7="上2",Z7="上3",Z7="上4",Z7="上5",Z7="下1",Z7="下2",Z7="下3",Z7="ー"),0,1)+IF(OR(Z8="休",Z8="有",Z8="出",Z8="上1",Z8="上2",Z8="上3",Z8="上4",Z8="上5",Z8="下1",Z8="下2",Z8="下3",Z8="ー"),0,1)+IF(OR(Z9="休",Z9="有",Z9="出",Z9="上1",Z9="上2",Z9="上3",Z9="上4",Z9="上5",Z9="下1",Z9="下2",Z9="下3",Z9="ー"),0,1)+IF(OR(Z10="休",Z10="有",Z10="出",Z10="上1",Z10="上2",Z10="上3",Z10="上4",Z10="上5",Z10="下1",Z10="下2",Z10="下3",Z10="ー"),0,1)+IF(OR(Z11="休",Z11="有",Z11="出",Z11="上1",Z11="上2",Z11="上3",Z11="上4",Z11="上5",Z11="下1",Z11="下2",Z11="下3",Z11="ー"),0,1)+IF(OR(Z12="休",Z12="有",Z12="出",Z12="上1",Z12="上2",Z12="上3",Z12="上4",Z12="上5",Z12="下1",Z12="下2",Z12="下3",Z12="ー"),0,1)+IF(OR(Z13="休",Z13="有",Z13="出",Z13="上1",Z13="上2",Z13="上3",Z13="上4",Z13="上5",Z13="下1",Z13="下2",Z13="下3",Z13="ー"),0,1)</f>
        <v>0</v>
      </c>
      <c r="AA40" s="9">
        <f>IF(OR(AA4="休",AA4="有",AA4="出",AA4="上1",AA4="上2",AA4="上3",AA4="上4",AA4="上5",AA4="下1",AA4="下2",AA4="下3",AA4="ー"),0,1)+IF(OR(AA5="休",AA5="有",AA5="出",AA5="上1",AA5="上2",AA5="上3",AA5="上4",AA5="上5",AA5="下1",AA5="下2",AA5="下3",AA5="ー"),0,1)+IF(OR(AA6="休",AA6="有",AA6="出",AA6="上1",AA6="上2",AA6="上3",AA6="上4",AA6="上5",AA6="下1",AA6="下2",AA6="下3",AA6="ー"),0,1)+IF(OR(AA7="休",AA7="有",AA7="出",AA7="上1",AA7="上2",AA7="上3",AA7="上4",AA7="上5",AA7="下1",AA7="下2",AA7="下3",AA7="ー"),0,1)+IF(OR(AA8="休",AA8="有",AA8="出",AA8="上1",AA8="上2",AA8="上3",AA8="上4",AA8="上5",AA8="下1",AA8="下2",AA8="下3",AA8="ー"),0,1)+IF(OR(AA9="休",AA9="有",AA9="出",AA9="上1",AA9="上2",AA9="上3",AA9="上4",AA9="上5",AA9="下1",AA9="下2",AA9="下3",AA9="ー"),0,1)+IF(OR(AA10="休",AA10="有",AA10="出",AA10="上1",AA10="上2",AA10="上3",AA10="上4",AA10="上5",AA10="下1",AA10="下2",AA10="下3",AA10="ー"),0,1)+IF(OR(AA11="休",AA11="有",AA11="出",AA11="上1",AA11="上2",AA11="上3",AA11="上4",AA11="上5",AA11="下1",AA11="下2",AA11="下3",AA11="ー"),0,1)+IF(OR(AA12="休",AA12="有",AA12="出",AA12="上1",AA12="上2",AA12="上3",AA12="上4",AA12="上5",AA12="下1",AA12="下2",AA12="下3",AA12="ー"),0,1)+IF(OR(AA13="休",AA13="有",AA13="出",AA13="上1",AA13="上2",AA13="上3",AA13="上4",AA13="上5",AA13="下1",AA13="下2",AA13="下3",AA13="ー"),0,1)</f>
        <v>0</v>
      </c>
      <c r="AB40" s="9">
        <f>IF(OR(AB4="休",AB4="有",AB4="出",AB4="上1",AB4="上2",AB4="上3",AB4="上4",AB4="上5",AB4="下1",AB4="下2",AB4="下3",AB4="ー"),0,1)+IF(OR(AB5="休",AB5="有",AB5="出",AB5="上1",AB5="上2",AB5="上3",AB5="上4",AB5="上5",AB5="下1",AB5="下2",AB5="下3",AB5="ー"),0,1)+IF(OR(AB6="休",AB6="有",AB6="出",AB6="上1",AB6="上2",AB6="上3",AB6="上4",AB6="上5",AB6="下1",AB6="下2",AB6="下3",AB6="ー"),0,1)+IF(OR(AB7="休",AB7="有",AB7="出",AB7="上1",AB7="上2",AB7="上3",AB7="上4",AB7="上5",AB7="下1",AB7="下2",AB7="下3",AB7="ー"),0,1)+IF(OR(AB8="休",AB8="有",AB8="出",AB8="上1",AB8="上2",AB8="上3",AB8="上4",AB8="上5",AB8="下1",AB8="下2",AB8="下3",AB8="ー"),0,1)+IF(OR(AB9="休",AB9="有",AB9="出",AB9="上1",AB9="上2",AB9="上3",AB9="上4",AB9="上5",AB9="下1",AB9="下2",AB9="下3",AB9="ー"),0,1)+IF(OR(AB10="休",AB10="有",AB10="出",AB10="上1",AB10="上2",AB10="上3",AB10="上4",AB10="上5",AB10="下1",AB10="下2",AB10="下3",AB10="ー"),0,1)+IF(OR(AB11="休",AB11="有",AB11="出",AB11="上1",AB11="上2",AB11="上3",AB11="上4",AB11="上5",AB11="下1",AB11="下2",AB11="下3",AB11="ー"),0,1)+IF(OR(AB12="休",AB12="有",AB12="出",AB12="上1",AB12="上2",AB12="上3",AB12="上4",AB12="上5",AB12="下1",AB12="下2",AB12="下3",AB12="ー"),0,1)+IF(OR(AB13="休",AB13="有",AB13="出",AB13="上1",AB13="上2",AB13="上3",AB13="上4",AB13="上5",AB13="下1",AB13="下2",AB13="下3",AB13="ー"),0,1)</f>
        <v>0</v>
      </c>
      <c r="AC40" s="9">
        <f>IF(OR(AC4="休",AC4="有",AC4="出",AC4="上1",AC4="上2",AC4="上3",AC4="上4",AC4="上5",AC4="下1",AC4="下2",AC4="下3",AC4="ー"),0,1)+IF(OR(AC5="休",AC5="有",AC5="出",AC5="上1",AC5="上2",AC5="上3",AC5="上4",AC5="上5",AC5="下1",AC5="下2",AC5="下3",AC5="ー"),0,1)+IF(OR(AC6="休",AC6="有",AC6="出",AC6="上1",AC6="上2",AC6="上3",AC6="上4",AC6="上5",AC6="下1",AC6="下2",AC6="下3",AC6="ー"),0,1)+IF(OR(AC7="休",AC7="有",AC7="出",AC7="上1",AC7="上2",AC7="上3",AC7="上4",AC7="上5",AC7="下1",AC7="下2",AC7="下3",AC7="ー"),0,1)+IF(OR(AC8="休",AC8="有",AC8="出",AC8="上1",AC8="上2",AC8="上3",AC8="上4",AC8="上5",AC8="下1",AC8="下2",AC8="下3",AC8="ー"),0,1)+IF(OR(AC9="休",AC9="有",AC9="出",AC9="上1",AC9="上2",AC9="上3",AC9="上4",AC9="上5",AC9="下1",AC9="下2",AC9="下3",AC9="ー"),0,1)+IF(OR(AC10="休",AC10="有",AC10="出",AC10="上1",AC10="上2",AC10="上3",AC10="上4",AC10="上5",AC10="下1",AC10="下2",AC10="下3",AC10="ー"),0,1)+IF(OR(AC11="休",AC11="有",AC11="出",AC11="上1",AC11="上2",AC11="上3",AC11="上4",AC11="上5",AC11="下1",AC11="下2",AC11="下3",AC11="ー"),0,1)+IF(OR(AC12="休",AC12="有",AC12="出",AC12="上1",AC12="上2",AC12="上3",AC12="上4",AC12="上5",AC12="下1",AC12="下2",AC12="下3",AC12="ー"),0,1)+IF(OR(AC13="休",AC13="有",AC13="出",AC13="上1",AC13="上2",AC13="上3",AC13="上4",AC13="上5",AC13="下1",AC13="下2",AC13="下3",AC13="ー"),0,1)</f>
        <v>0</v>
      </c>
      <c r="AD40" s="9" t="inlineStr">
        <is>
          <t>-</t>
        </is>
      </c>
      <c r="AE40" s="9" t="inlineStr">
        <is>
          <t>-</t>
        </is>
      </c>
      <c r="AF40" s="9" t="inlineStr">
        <is>
          <t>-</t>
        </is>
      </c>
      <c r="AG40" s="9" t="inlineStr">
        <is>
          <t>-</t>
        </is>
      </c>
      <c r="AH40" s="9" t="inlineStr">
        <is>
          <t>-</t>
        </is>
      </c>
      <c r="AI40" s="9" t="inlineStr">
        <is>
          <t>-</t>
        </is>
      </c>
      <c r="AJ40" s="9" t="inlineStr">
        <is>
          <t>-</t>
        </is>
      </c>
      <c r="AK40" s="9" t="inlineStr">
        <is>
          <t>-</t>
        </is>
      </c>
      <c r="AL40" s="9" t="inlineStr">
        <is>
          <t>-</t>
        </is>
      </c>
    </row>
  </sheetData>
  <pageMargins left="0.2" right="0.2" top="0.3" bottom="0.3" header="0.1" footer="0.1"/>
  <pageSetup paperSize="8" orientation="landscape" fitToWidth="1" fitToHeight="1"/>
</worksheet>
</file>