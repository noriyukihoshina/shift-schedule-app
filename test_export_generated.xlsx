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 customHeight="1">
      <c r="A1" s="1" t="inlineStr">
        <is>
          <t>2026年4月勤務表</t>
        </is>
      </c>
    </row>
    <row r="2" ht="20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18" customHeight="1">
      <c r="A3" s="2"/>
      <c r="B3" s="2" t="inlineStr">
        <is>
          <t>水</t>
        </is>
      </c>
      <c r="C3" s="2" t="inlineStr">
        <is>
          <t>木</t>
        </is>
      </c>
      <c r="D3" s="3" t="inlineStr">
        <is>
          <t>金</t>
        </is>
      </c>
      <c r="E3" s="4" t="inlineStr">
        <is>
          <t>土</t>
        </is>
      </c>
      <c r="F3" s="4" t="inlineStr">
        <is>
          <t>日</t>
        </is>
      </c>
      <c r="G3" s="2" t="inlineStr">
        <is>
          <t>月</t>
        </is>
      </c>
      <c r="H3" s="2" t="inlineStr">
        <is>
          <t>火</t>
        </is>
      </c>
      <c r="I3" s="2" t="inlineStr">
        <is>
          <t>水</t>
        </is>
      </c>
      <c r="J3" s="2" t="inlineStr">
        <is>
          <t>木</t>
        </is>
      </c>
      <c r="K3" s="3" t="inlineStr">
        <is>
          <t>金</t>
        </is>
      </c>
      <c r="L3" s="4" t="inlineStr">
        <is>
          <t>土</t>
        </is>
      </c>
      <c r="M3" s="4" t="inlineStr">
        <is>
          <t>日</t>
        </is>
      </c>
      <c r="N3" s="2" t="inlineStr">
        <is>
          <t>月</t>
        </is>
      </c>
      <c r="O3" s="2" t="inlineStr">
        <is>
          <t>火</t>
        </is>
      </c>
      <c r="P3" s="2" t="inlineStr">
        <is>
          <t>水</t>
        </is>
      </c>
      <c r="Q3" s="2" t="inlineStr">
        <is>
          <t>木</t>
        </is>
      </c>
      <c r="R3" s="3" t="inlineStr">
        <is>
          <t>金</t>
        </is>
      </c>
      <c r="S3" s="4" t="inlineStr">
        <is>
          <t>土</t>
        </is>
      </c>
      <c r="T3" s="4" t="inlineStr">
        <is>
          <t>日</t>
        </is>
      </c>
      <c r="U3" s="2" t="inlineStr">
        <is>
          <t>月</t>
        </is>
      </c>
      <c r="V3" s="2" t="inlineStr">
        <is>
          <t>火</t>
        </is>
      </c>
      <c r="W3" s="2" t="inlineStr">
        <is>
          <t>水</t>
        </is>
      </c>
      <c r="X3" s="2" t="inlineStr">
        <is>
          <t>木</t>
        </is>
      </c>
      <c r="Y3" s="3" t="inlineStr">
        <is>
          <t>金</t>
        </is>
      </c>
      <c r="Z3" s="4" t="inlineStr">
        <is>
          <t>土</t>
        </is>
      </c>
      <c r="AA3" s="4" t="inlineStr">
        <is>
          <t>日</t>
        </is>
      </c>
      <c r="AB3" s="2" t="inlineStr">
        <is>
          <t>月</t>
        </is>
      </c>
      <c r="AC3" s="2" t="inlineStr">
        <is>
          <t>火</t>
        </is>
      </c>
      <c r="AD3" s="2"/>
      <c r="AE3" s="2"/>
      <c r="AF3" s="2"/>
      <c r="AG3" s="2"/>
      <c r="AH3" s="2"/>
      <c r="AI3" s="2"/>
      <c r="AJ3" s="2"/>
      <c r="AK3" s="2"/>
    </row>
    <row r="4" ht="20" customHeight="1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  <c r="AI4" s="13">
        <f>COUNTIF(B4:AC4,"遅")+COUNTIF(B4:AC4,"オソ")</f>
        <v>0</v>
      </c>
      <c r="AJ4" s="13">
        <f>COUNTIF(B4:AC4,"E")+COUNTIF(B4:AC4,"イブ")</f>
        <v>0</v>
      </c>
      <c r="AK4" s="13">
        <f>COUNTIF(B4:AC4,"8時")</f>
        <v>0</v>
      </c>
    </row>
    <row r="5" ht="20" customHeight="1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  <c r="AI5" s="13">
        <f>COUNTIF(B5:AC5,"遅")+COUNTIF(B5:AC5,"オソ")</f>
        <v>0</v>
      </c>
      <c r="AJ5" s="13">
        <f>COUNTIF(B5:AC5,"E")+COUNTIF(B5:AC5,"イブ")</f>
        <v>0</v>
      </c>
      <c r="AK5" s="13">
        <f>COUNTIF(B5:AC5,"8時")</f>
        <v>0</v>
      </c>
    </row>
    <row r="6" ht="20" customHeight="1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  <c r="AI6" s="13">
        <f>COUNTIF(B6:AC6,"遅")+COUNTIF(B6:AC6,"オソ")</f>
        <v>0</v>
      </c>
      <c r="AJ6" s="13">
        <f>COUNTIF(B6:AC6,"E")+COUNTIF(B6:AC6,"イブ")</f>
        <v>0</v>
      </c>
      <c r="AK6" s="13">
        <f>COUNTIF(B6:AC6,"8時")</f>
        <v>0</v>
      </c>
    </row>
    <row r="7" ht="20" customHeight="1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  <c r="AI7" s="13">
        <f>COUNTIF(B7:AC7,"遅")+COUNTIF(B7:AC7,"オソ")</f>
        <v>0</v>
      </c>
      <c r="AJ7" s="13">
        <f>COUNTIF(B7:AC7,"E")+COUNTIF(B7:AC7,"イブ")</f>
        <v>0</v>
      </c>
      <c r="AK7" s="13">
        <f>COUNTIF(B7:AC7,"8時")</f>
        <v>0</v>
      </c>
    </row>
    <row r="8" ht="20" customHeight="1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  <c r="AI8" s="13">
        <f>COUNTIF(B8:AC8,"遅")+COUNTIF(B8:AC8,"オソ")</f>
        <v>0</v>
      </c>
      <c r="AJ8" s="13">
        <f>COUNTIF(B8:AC8,"E")+COUNTIF(B8:AC8,"イブ")</f>
        <v>0</v>
      </c>
      <c r="AK8" s="13">
        <f>COUNTIF(B8:AC8,"8時")</f>
        <v>0</v>
      </c>
    </row>
    <row r="9" ht="20" customHeight="1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  <c r="AI9" s="13">
        <f>COUNTIF(B9:AC9,"遅")+COUNTIF(B9:AC9,"オソ")</f>
        <v>0</v>
      </c>
      <c r="AJ9" s="13">
        <f>COUNTIF(B9:AC9,"E")+COUNTIF(B9:AC9,"イブ")</f>
        <v>0</v>
      </c>
      <c r="AK9" s="13">
        <f>COUNTIF(B9:AC9,"8時")</f>
        <v>0</v>
      </c>
    </row>
    <row r="10" ht="20" customHeight="1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  <c r="AI10" s="13">
        <f>COUNTIF(B10:AC10,"遅")+COUNTIF(B10:AC10,"オソ")</f>
        <v>0</v>
      </c>
      <c r="AJ10" s="13">
        <f>COUNTIF(B10:AC10,"E")+COUNTIF(B10:AC10,"イブ")</f>
        <v>0</v>
      </c>
      <c r="AK10" s="13">
        <f>COUNTIF(B10:AC10,"8時")</f>
        <v>0</v>
      </c>
    </row>
    <row r="11" ht="20" customHeight="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  <c r="AI11" s="13">
        <f>COUNTIF(B11:AC11,"遅")+COUNTIF(B11:AC11,"オソ")</f>
        <v>0</v>
      </c>
      <c r="AJ11" s="13">
        <f>COUNTIF(B11:AC11,"E")+COUNTIF(B11:AC11,"イブ")</f>
        <v>0</v>
      </c>
      <c r="AK11" s="13">
        <f>COUNTIF(B11:AC11,"8時")</f>
        <v>0</v>
      </c>
    </row>
    <row r="12" ht="20" customHeight="1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  <c r="AI12" s="13">
        <f>COUNTIF(B12:AC12,"遅")+COUNTIF(B12:AC12,"オソ")</f>
        <v>0</v>
      </c>
      <c r="AJ12" s="13">
        <f>COUNTIF(B12:AC12,"E")+COUNTIF(B12:AC12,"イブ")</f>
        <v>0</v>
      </c>
      <c r="AK12" s="13">
        <f>COUNTIF(B12:AC12,"8時")</f>
        <v>0</v>
      </c>
    </row>
    <row r="13" ht="20" customHeight="1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  <c r="AI13" s="13">
        <f>COUNTIF(B13:AC13,"遅")+COUNTIF(B13:AC13,"オソ")</f>
        <v>0</v>
      </c>
      <c r="AJ13" s="13">
        <f>COUNTIF(B13:AC13,"E")+COUNTIF(B13:AC13,"イブ")</f>
        <v>0</v>
      </c>
      <c r="AK13" s="13">
        <f>COUNTIF(B13:AC13,"8時")</f>
        <v>0</v>
      </c>
    </row>
    <row r="14" ht="20" customHeight="1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  <c r="AI14" s="13">
        <f>COUNTIF(B14:AC14,"遅")+COUNTIF(B14:AC14,"オソ")</f>
        <v>0</v>
      </c>
      <c r="AJ14" s="13">
        <f>COUNTIF(B14:AC14,"E")+COUNTIF(B14:AC14,"イブ")</f>
        <v>0</v>
      </c>
      <c r="AK14" s="13">
        <f>COUNTIF(B14:AC14,"8時")</f>
        <v>0</v>
      </c>
    </row>
    <row r="15" ht="20" customHeight="1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  <c r="AI15" s="13">
        <f>COUNTIF(B15:AC15,"遅")+COUNTIF(B15:AC15,"オソ")</f>
        <v>0</v>
      </c>
      <c r="AJ15" s="13">
        <f>COUNTIF(B15:AC15,"E")+COUNTIF(B15:AC15,"イブ")</f>
        <v>0</v>
      </c>
      <c r="AK15" s="13">
        <f>COUNTIF(B15:AC15,"8時")</f>
        <v>0</v>
      </c>
    </row>
    <row r="16" ht="20" customHeight="1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  <c r="AI16" s="13">
        <f>COUNTIF(B16:AC16,"遅")+COUNTIF(B16:AC16,"オソ")</f>
        <v>0</v>
      </c>
      <c r="AJ16" s="13">
        <f>COUNTIF(B16:AC16,"E")+COUNTIF(B16:AC16,"イブ")</f>
        <v>0</v>
      </c>
      <c r="AK16" s="13">
        <f>COUNTIF(B16:AC16,"8時")</f>
        <v>0</v>
      </c>
    </row>
    <row r="17" ht="20" customHeight="1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  <c r="AI17" s="13">
        <f>COUNTIF(B17:AC17,"遅")+COUNTIF(B17:AC17,"オソ")</f>
        <v>0</v>
      </c>
      <c r="AJ17" s="13">
        <f>COUNTIF(B17:AC17,"E")+COUNTIF(B17:AC17,"イブ")</f>
        <v>0</v>
      </c>
      <c r="AK17" s="13">
        <f>COUNTIF(B17:AC17,"8時")</f>
        <v>0</v>
      </c>
    </row>
    <row r="18" ht="20" customHeight="1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  <c r="AI18" s="13">
        <f>COUNTIF(B18:AC18,"遅")+COUNTIF(B18:AC18,"オソ")</f>
        <v>0</v>
      </c>
      <c r="AJ18" s="13">
        <f>COUNTIF(B18:AC18,"E")+COUNTIF(B18:AC18,"イブ")</f>
        <v>0</v>
      </c>
      <c r="AK18" s="13">
        <f>COUNTIF(B18:AC18,"8時")</f>
        <v>0</v>
      </c>
    </row>
    <row r="19" ht="20" customHeight="1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  <c r="AI19" s="13">
        <f>COUNTIF(B19:AC19,"遅")+COUNTIF(B19:AC19,"オソ")</f>
        <v>0</v>
      </c>
      <c r="AJ19" s="13">
        <f>COUNTIF(B19:AC19,"E")+COUNTIF(B19:AC19,"イブ")</f>
        <v>0</v>
      </c>
      <c r="AK19" s="13">
        <f>COUNTIF(B19:AC19,"8時")</f>
        <v>0</v>
      </c>
    </row>
    <row r="20" ht="20" customHeight="1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  <c r="AI20" s="13">
        <f>COUNTIF(B20:AC20,"遅")+COUNTIF(B20:AC20,"オソ")</f>
        <v>0</v>
      </c>
      <c r="AJ20" s="13">
        <f>COUNTIF(B20:AC20,"E")+COUNTIF(B20:AC20,"イブ")</f>
        <v>0</v>
      </c>
      <c r="AK20" s="13">
        <f>COUNTIF(B20:AC20,"8時")</f>
        <v>0</v>
      </c>
    </row>
    <row r="21" ht="20" customHeight="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  <c r="AI21" s="13">
        <f>COUNTIF(B21:AC21,"遅")+COUNTIF(B21:AC21,"オソ")</f>
        <v>0</v>
      </c>
      <c r="AJ21" s="13">
        <f>COUNTIF(B21:AC21,"E")+COUNTIF(B21:AC21,"イブ")</f>
        <v>0</v>
      </c>
      <c r="AK21" s="13">
        <f>COUNTIF(B21:AC21,"8時")</f>
        <v>0</v>
      </c>
    </row>
    <row r="22" ht="20" customHeight="1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  <c r="AI22" s="13">
        <f>COUNTIF(B22:AC22,"遅")+COUNTIF(B22:AC22,"オソ")</f>
        <v>0</v>
      </c>
      <c r="AJ22" s="13">
        <f>COUNTIF(B22:AC22,"E")+COUNTIF(B22:AC22,"イブ")</f>
        <v>0</v>
      </c>
      <c r="AK22" s="13">
        <f>COUNTIF(B22:AC22,"8時")</f>
        <v>0</v>
      </c>
    </row>
    <row r="23" ht="20" customHeight="1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  <c r="AI23" s="13">
        <f>COUNTIF(B23:AC23,"遅")+COUNTIF(B23:AC23,"オソ")</f>
        <v>0</v>
      </c>
      <c r="AJ23" s="13">
        <f>COUNTIF(B23:AC23,"E")+COUNTIF(B23:AC23,"イブ")</f>
        <v>0</v>
      </c>
      <c r="AK23" s="13">
        <f>COUNTIF(B23:AC23,"8時")</f>
        <v>0</v>
      </c>
    </row>
    <row r="24" ht="20" customHeight="1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  <c r="AI24" s="13">
        <f>COUNTIF(B24:AC24,"遅")+COUNTIF(B24:AC24,"オソ")</f>
        <v>0</v>
      </c>
      <c r="AJ24" s="13">
        <f>COUNTIF(B24:AC24,"E")+COUNTIF(B24:AC24,"イブ")</f>
        <v>0</v>
      </c>
      <c r="AK24" s="13">
        <f>COUNTIF(B24:AC24,"8時")</f>
        <v>0</v>
      </c>
    </row>
    <row r="25" ht="20" customHeight="1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  <c r="AI25" s="13">
        <f>COUNTIF(B25:AC25,"遅")+COUNTIF(B25:AC25,"オソ")</f>
        <v>0</v>
      </c>
      <c r="AJ25" s="13">
        <f>COUNTIF(B25:AC25,"E")+COUNTIF(B25:AC25,"イブ")</f>
        <v>0</v>
      </c>
      <c r="AK25" s="13">
        <f>COUNTIF(B25:AC25,"8時")</f>
        <v>0</v>
      </c>
    </row>
    <row r="26" ht="20" customHeight="1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  <c r="AI26" s="13">
        <f>COUNTIF(B26:AC26,"遅")+COUNTIF(B26:AC26,"オソ")</f>
        <v>0</v>
      </c>
      <c r="AJ26" s="13">
        <f>COUNTIF(B26:AC26,"E")+COUNTIF(B26:AC26,"イブ")</f>
        <v>0</v>
      </c>
      <c r="AK26" s="13">
        <f>COUNTIF(B26:AC26,"8時")</f>
        <v>0</v>
      </c>
    </row>
    <row r="27" ht="20" customHeight="1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  <c r="AI27" s="13">
        <f>COUNTIF(B27:AC27,"遅")+COUNTIF(B27:AC27,"オソ")</f>
        <v>0</v>
      </c>
      <c r="AJ27" s="13">
        <f>COUNTIF(B27:AC27,"E")+COUNTIF(B27:AC27,"イブ")</f>
        <v>0</v>
      </c>
      <c r="AK27" s="13">
        <f>COUNTIF(B27:AC27,"8時")</f>
        <v>0</v>
      </c>
    </row>
    <row r="28" ht="20" customHeight="1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  <c r="AI28" s="13">
        <f>COUNTIF(B28:AC28,"遅")+COUNTIF(B28:AC28,"オソ")</f>
        <v>0</v>
      </c>
      <c r="AJ28" s="13">
        <f>COUNTIF(B28:AC28,"E")+COUNTIF(B28:AC28,"イブ")</f>
        <v>0</v>
      </c>
      <c r="AK28" s="13">
        <f>COUNTIF(B28:AC28,"8時")</f>
        <v>0</v>
      </c>
    </row>
    <row r="29" ht="20" customHeight="1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  <c r="AI29" s="13">
        <f>COUNTIF(B29:AC29,"遅")+COUNTIF(B29:AC29,"オソ")</f>
        <v>0</v>
      </c>
      <c r="AJ29" s="13">
        <f>COUNTIF(B29:AC29,"E")+COUNTIF(B29:AC29,"イブ")</f>
        <v>0</v>
      </c>
      <c r="AK29" s="13">
        <f>COUNTIF(B29:AC29,"8時")</f>
        <v>0</v>
      </c>
    </row>
    <row r="30" ht="20" customHeight="1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  <c r="AI30" s="13">
        <f>COUNTIF(B30:AC30,"遅")+COUNTIF(B30:AC30,"オソ")</f>
        <v>0</v>
      </c>
      <c r="AJ30" s="13">
        <f>COUNTIF(B30:AC30,"E")+COUNTIF(B30:AC30,"イブ")</f>
        <v>0</v>
      </c>
      <c r="AK30" s="13">
        <f>COUNTIF(B30:AC30,"8時")</f>
        <v>0</v>
      </c>
    </row>
    <row r="31" ht="20" customHeight="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  <c r="AI31" s="13">
        <f>COUNTIF(B31:AC31,"遅")+COUNTIF(B31:AC31,"オソ")</f>
        <v>0</v>
      </c>
      <c r="AJ31" s="13">
        <f>COUNTIF(B31:AC31,"E")+COUNTIF(B31:AC31,"イブ")</f>
        <v>0</v>
      </c>
      <c r="AK31" s="13">
        <f>COUNTIF(B31:AC31,"8時")</f>
        <v>0</v>
      </c>
    </row>
    <row r="32" ht="20" customHeight="1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  <c r="AI32" s="13">
        <f>COUNTIF(B32:AC32,"遅")+COUNTIF(B32:AC32,"オソ")</f>
        <v>0</v>
      </c>
      <c r="AJ32" s="13">
        <f>COUNTIF(B32:AC32,"E")+COUNTIF(B32:AC32,"イブ")</f>
        <v>0</v>
      </c>
      <c r="AK32" s="13">
        <f>COUNTIF(B32:AC32,"8時")</f>
        <v>0</v>
      </c>
    </row>
    <row r="33" ht="20" customHeight="1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  <c r="AI33" s="13">
        <f>COUNTIF(B33:AC33,"遅")+COUNTIF(B33:AC33,"オソ")</f>
        <v>0</v>
      </c>
      <c r="AJ33" s="13">
        <f>COUNTIF(B33:AC33,"E")+COUNTIF(B33:AC33,"イブ")</f>
        <v>0</v>
      </c>
      <c r="AK33" s="13">
        <f>COUNTIF(B33:AC33,"8時")</f>
        <v>0</v>
      </c>
    </row>
    <row r="34" ht="20" customHeight="1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  <c r="AI34" s="13">
        <f>COUNTIF(B34:AC34,"遅")+COUNTIF(B34:AC34,"オソ")</f>
        <v>0</v>
      </c>
      <c r="AJ34" s="13">
        <f>COUNTIF(B34:AC34,"E")+COUNTIF(B34:AC34,"イブ")</f>
        <v>0</v>
      </c>
      <c r="AK34" s="13">
        <f>COUNTIF(B34:AC34,"8時")</f>
        <v>0</v>
      </c>
    </row>
    <row r="35" ht="20" customHeight="1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  <c r="AI35" s="13">
        <f>COUNTIF(B35:AC35,"遅")+COUNTIF(B35:AC35,"オソ")</f>
        <v>0</v>
      </c>
      <c r="AJ35" s="13">
        <f>COUNTIF(B35:AC35,"E")+COUNTIF(B35:AC35,"イブ")</f>
        <v>0</v>
      </c>
      <c r="AK35" s="13">
        <f>COUNTIF(B35:AC35,"8時")</f>
        <v>0</v>
      </c>
    </row>
    <row r="36" ht="20" customHeight="1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  <c r="AI36" s="13">
        <f>COUNTIF(B36:AC36,"遅")+COUNTIF(B36:AC36,"オソ")</f>
        <v>0</v>
      </c>
      <c r="AJ36" s="13">
        <f>COUNTIF(B36:AC36,"E")+COUNTIF(B36:AC36,"イブ")</f>
        <v>0</v>
      </c>
      <c r="AK36" s="13">
        <f>COUNTIF(B36:AC36,"8時")</f>
        <v>0</v>
      </c>
    </row>
    <row r="37" ht="20" customHeight="1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  <c r="AI37" s="13">
        <f>COUNTIF(B37:AC37,"遅")+COUNTIF(B37:AC37,"オソ")</f>
        <v>0</v>
      </c>
      <c r="AJ37" s="13">
        <f>COUNTIF(B37:AC37,"E")+COUNTIF(B37:AC37,"イブ")</f>
        <v>0</v>
      </c>
      <c r="AK37" s="13">
        <f>COUNTIF(B37:AC37,"8時")</f>
        <v>0</v>
      </c>
    </row>
    <row r="38" ht="20" customHeight="1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  <c r="AI38" s="13">
        <f>COUNTIF(B38:AC38,"遅")+COUNTIF(B38:AC38,"オソ")</f>
        <v>0</v>
      </c>
      <c r="AJ38" s="13">
        <f>COUNTIF(B38:AC38,"E")+COUNTIF(B38:AC38,"イブ")</f>
        <v>0</v>
      </c>
      <c r="AK38" s="13">
        <f>COUNTIF(B38:AC38,"8時")</f>
        <v>0</v>
      </c>
    </row>
    <row r="39" ht="20" customHeight="1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  <c r="AI39" s="13">
        <f>COUNTIF(B39:AC39,"遅")+COUNTIF(B39:AC39,"オソ")</f>
        <v>0</v>
      </c>
      <c r="AJ39" s="13">
        <f>COUNTIF(B39:AC39,"E")+COUNTIF(B39:AC39,"イブ")</f>
        <v>0</v>
      </c>
      <c r="AK39" s="13">
        <f>COUNTIF(B39:AC39,"8時")</f>
        <v>0</v>
      </c>
    </row>
    <row r="40" ht="20" customHeight="1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  <c r="AI40" s="13">
        <f>COUNTIF(B40:AC40,"遅")+COUNTIF(B40:AC40,"オソ")</f>
        <v>0</v>
      </c>
      <c r="AJ40" s="13">
        <f>COUNTIF(B40:AC40,"E")+COUNTIF(B40:AC40,"イブ")</f>
        <v>0</v>
      </c>
      <c r="AK40" s="13">
        <f>COUNTIF(B40:AC40,"8時")</f>
        <v>0</v>
      </c>
    </row>
    <row r="41" ht="20" customHeight="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  <c r="AI41" s="13">
        <f>COUNTIF(B41:AC41,"遅")+COUNTIF(B41:AC41,"オソ")</f>
        <v>0</v>
      </c>
      <c r="AJ41" s="13">
        <f>COUNTIF(B41:AC41,"E")+COUNTIF(B41:AC41,"イブ")</f>
        <v>0</v>
      </c>
      <c r="AK41" s="13">
        <f>COUNTIF(B41:AC41,"8時")</f>
        <v>0</v>
      </c>
    </row>
    <row r="42" ht="20" customHeight="1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  <c r="AI42" s="13">
        <f>COUNTIF(B42:AC42,"遅")+COUNTIF(B42:AC42,"オソ")</f>
        <v>0</v>
      </c>
      <c r="AJ42" s="13">
        <f>COUNTIF(B42:AC42,"E")+COUNTIF(B42:AC42,"イブ")</f>
        <v>0</v>
      </c>
      <c r="AK42" s="13">
        <f>COUNTIF(B42:AC42,"8時")</f>
        <v>0</v>
      </c>
    </row>
    <row r="43" ht="20" customHeight="1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  <c r="AI43" s="13">
        <f>COUNTIF(B43:AC43,"遅")+COUNTIF(B43:AC43,"オソ")</f>
        <v>0</v>
      </c>
      <c r="AJ43" s="13">
        <f>COUNTIF(B43:AC43,"E")+COUNTIF(B43:AC43,"イブ")</f>
        <v>0</v>
      </c>
      <c r="AK43" s="13">
        <f>COUNTIF(B43:AC43,"8時")</f>
        <v>0</v>
      </c>
    </row>
    <row r="44" ht="20" customHeight="1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  <c r="AI44" s="13">
        <f>COUNTIF(B44:AC44,"遅")+COUNTIF(B44:AC44,"オソ")</f>
        <v>0</v>
      </c>
      <c r="AJ44" s="13">
        <f>COUNTIF(B44:AC44,"E")+COUNTIF(B44:AC44,"イブ")</f>
        <v>0</v>
      </c>
      <c r="AK44" s="13">
        <f>COUNTIF(B44:AC44,"8時")</f>
        <v>0</v>
      </c>
    </row>
    <row r="45" ht="20" customHeight="1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  <c r="AI45" s="13">
        <f>COUNTIF(B45:AC45,"遅")+COUNTIF(B45:AC45,"オソ")</f>
        <v>0</v>
      </c>
      <c r="AJ45" s="13">
        <f>COUNTIF(B45:AC45,"E")+COUNTIF(B45:AC45,"イブ")</f>
        <v>0</v>
      </c>
      <c r="AK45" s="13">
        <f>COUNTIF(B45:AC45,"8時")</f>
        <v>0</v>
      </c>
    </row>
    <row r="46" ht="20" customHeight="1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  <c r="AI46" s="13">
        <f>COUNTIF(B46:AC46,"遅")+COUNTIF(B46:AC46,"オソ")</f>
        <v>0</v>
      </c>
      <c r="AJ46" s="13">
        <f>COUNTIF(B46:AC46,"E")+COUNTIF(B46:AC46,"イブ")</f>
        <v>0</v>
      </c>
      <c r="AK46" s="13">
        <f>COUNTIF(B46:AC46,"8時")</f>
        <v>0</v>
      </c>
    </row>
    <row r="47" ht="20" customHeight="1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  <c r="AI47" s="13">
        <f>COUNTIF(B47:AC47,"遅")+COUNTIF(B47:AC47,"オソ")</f>
        <v>0</v>
      </c>
      <c r="AJ47" s="13">
        <f>COUNTIF(B47:AC47,"E")+COUNTIF(B47:AC47,"イブ")</f>
        <v>0</v>
      </c>
      <c r="AK47" s="13">
        <f>COUNTIF(B47:AC47,"8時")</f>
        <v>0</v>
      </c>
    </row>
    <row r="48" ht="20" customHeight="1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  <c r="AI48" s="13">
        <f>COUNTIF(B48:AC48,"遅")+COUNTIF(B48:AC48,"オソ")</f>
        <v>0</v>
      </c>
      <c r="AJ48" s="13">
        <f>COUNTIF(B48:AC48,"E")+COUNTIF(B48:AC48,"イブ")</f>
        <v>0</v>
      </c>
      <c r="AK48" s="13">
        <f>COUNTIF(B48:AC48,"8時")</f>
        <v>0</v>
      </c>
    </row>
    <row r="49" ht="20" customHeight="1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  <c r="AI49" s="13">
        <f>COUNTIF(B49:AC49,"遅")+COUNTIF(B49:AC49,"オソ")</f>
        <v>0</v>
      </c>
      <c r="AJ49" s="13">
        <f>COUNTIF(B49:AC49,"E")+COUNTIF(B49:AC49,"イブ")</f>
        <v>0</v>
      </c>
      <c r="AK49" s="13">
        <f>COUNTIF(B49:AC49,"8時")</f>
        <v>0</v>
      </c>
    </row>
    <row r="50" ht="20" customHeight="1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  <c r="AI50" s="13">
        <f>COUNTIF(B50:AC50,"遅")+COUNTIF(B50:AC50,"オソ")</f>
        <v>0</v>
      </c>
      <c r="AJ50" s="13">
        <f>COUNTIF(B50:AC50,"E")+COUNTIF(B50:AC50,"イブ")</f>
        <v>0</v>
      </c>
      <c r="AK50" s="13">
        <f>COUNTIF(B50:AC50,"8時")</f>
        <v>0</v>
      </c>
    </row>
    <row r="51" ht="20" customHeight="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  <c r="AI51" s="13">
        <f>COUNTIF(B51:AC51,"遅")+COUNTIF(B51:AC51,"オソ")</f>
        <v>0</v>
      </c>
      <c r="AJ51" s="13">
        <f>COUNTIF(B51:AC51,"E")+COUNTIF(B51:AC51,"イブ")</f>
        <v>0</v>
      </c>
      <c r="AK51" s="13">
        <f>COUNTIF(B51:AC51,"8時")</f>
        <v>0</v>
      </c>
    </row>
    <row r="52" ht="20" customHeight="1">
      <c r="A52" s="9" t="inlineStr">
        <is>
          <t>出勤人数合計</t>
        </is>
      </c>
      <c r="B52" s="9">
        <f>SUM(COUNTIF(INDIRECT("B$4:B"&amp;(ROW()-1)),"○"),COUNTIF(INDIRECT("B$4:B"&amp;(ROW()-1)),"〇"),COUNTIF(INDIRECT("B$4:B"&amp;(ROW()-1)),"出"),COUNTIF(INDIRECT("B$4:B"&amp;(ROW()-1)),"早"),COUNTIF(INDIRECT("B$4:B"&amp;(ROW()-1)),"遅"),COUNTIF(INDIRECT("B$4:B"&amp;(ROW()-1)),"E"),COUNTIF(INDIRECT("B$4:B"&amp;(ROW()-1)),"8時"),COUNTIF(INDIRECT("B$4:B"&amp;(ROW()-1)),"ハヤ"),COUNTIF(INDIRECT("B$4:B"&amp;(ROW()-1)),"オソ"),COUNTIF(INDIRECT("B$4:B"&amp;(ROW()-1)),"イブ"))</f>
        <v>0</v>
      </c>
      <c r="C52" s="9">
        <f>SUM(COUNTIF(INDIRECT("C$4:C"&amp;(ROW()-1)),"○"),COUNTIF(INDIRECT("C$4:C"&amp;(ROW()-1)),"〇"),COUNTIF(INDIRECT("C$4:C"&amp;(ROW()-1)),"出"),COUNTIF(INDIRECT("C$4:C"&amp;(ROW()-1)),"早"),COUNTIF(INDIRECT("C$4:C"&amp;(ROW()-1)),"遅"),COUNTIF(INDIRECT("C$4:C"&amp;(ROW()-1)),"E"),COUNTIF(INDIRECT("C$4:C"&amp;(ROW()-1)),"8時"),COUNTIF(INDIRECT("C$4:C"&amp;(ROW()-1)),"ハヤ"),COUNTIF(INDIRECT("C$4:C"&amp;(ROW()-1)),"オソ"),COUNTIF(INDIRECT("C$4:C"&amp;(ROW()-1)),"イブ"))</f>
        <v>0</v>
      </c>
      <c r="D52" s="9">
        <f>SUM(COUNTIF(INDIRECT("D$4:D"&amp;(ROW()-1)),"○"),COUNTIF(INDIRECT("D$4:D"&amp;(ROW()-1)),"〇"),COUNTIF(INDIRECT("D$4:D"&amp;(ROW()-1)),"出"),COUNTIF(INDIRECT("D$4:D"&amp;(ROW()-1)),"早"),COUNTIF(INDIRECT("D$4:D"&amp;(ROW()-1)),"遅"),COUNTIF(INDIRECT("D$4:D"&amp;(ROW()-1)),"E"),COUNTIF(INDIRECT("D$4:D"&amp;(ROW()-1)),"8時"),COUNTIF(INDIRECT("D$4:D"&amp;(ROW()-1)),"ハヤ"),COUNTIF(INDIRECT("D$4:D"&amp;(ROW()-1)),"オソ"),COUNTIF(INDIRECT("D$4:D"&amp;(ROW()-1)),"イブ"))</f>
        <v>0</v>
      </c>
      <c r="E52" s="9">
        <f>SUM(COUNTIF(INDIRECT("E$4:E"&amp;(ROW()-1)),"○"),COUNTIF(INDIRECT("E$4:E"&amp;(ROW()-1)),"〇"),COUNTIF(INDIRECT("E$4:E"&amp;(ROW()-1)),"出"),COUNTIF(INDIRECT("E$4:E"&amp;(ROW()-1)),"早"),COUNTIF(INDIRECT("E$4:E"&amp;(ROW()-1)),"遅"),COUNTIF(INDIRECT("E$4:E"&amp;(ROW()-1)),"E"),COUNTIF(INDIRECT("E$4:E"&amp;(ROW()-1)),"8時"),COUNTIF(INDIRECT("E$4:E"&amp;(ROW()-1)),"ハヤ"),COUNTIF(INDIRECT("E$4:E"&amp;(ROW()-1)),"オソ"),COUNTIF(INDIRECT("E$4:E"&amp;(ROW()-1)),"イブ"))</f>
        <v>0</v>
      </c>
      <c r="F52" s="9">
        <f>SUM(COUNTIF(INDIRECT("F$4:F"&amp;(ROW()-1)),"○"),COUNTIF(INDIRECT("F$4:F"&amp;(ROW()-1)),"〇"),COUNTIF(INDIRECT("F$4:F"&amp;(ROW()-1)),"出"),COUNTIF(INDIRECT("F$4:F"&amp;(ROW()-1)),"早"),COUNTIF(INDIRECT("F$4:F"&amp;(ROW()-1)),"遅"),COUNTIF(INDIRECT("F$4:F"&amp;(ROW()-1)),"E"),COUNTIF(INDIRECT("F$4:F"&amp;(ROW()-1)),"8時"),COUNTIF(INDIRECT("F$4:F"&amp;(ROW()-1)),"ハヤ"),COUNTIF(INDIRECT("F$4:F"&amp;(ROW()-1)),"オソ"),COUNTIF(INDIRECT("F$4:F"&amp;(ROW()-1)),"イブ"))</f>
        <v>0</v>
      </c>
      <c r="G52" s="9">
        <f>SUM(COUNTIF(INDIRECT("G$4:G"&amp;(ROW()-1)),"○"),COUNTIF(INDIRECT("G$4:G"&amp;(ROW()-1)),"〇"),COUNTIF(INDIRECT("G$4:G"&amp;(ROW()-1)),"出"),COUNTIF(INDIRECT("G$4:G"&amp;(ROW()-1)),"早"),COUNTIF(INDIRECT("G$4:G"&amp;(ROW()-1)),"遅"),COUNTIF(INDIRECT("G$4:G"&amp;(ROW()-1)),"E"),COUNTIF(INDIRECT("G$4:G"&amp;(ROW()-1)),"8時"),COUNTIF(INDIRECT("G$4:G"&amp;(ROW()-1)),"ハヤ"),COUNTIF(INDIRECT("G$4:G"&amp;(ROW()-1)),"オソ"),COUNTIF(INDIRECT("G$4:G"&amp;(ROW()-1)),"イブ"))</f>
        <v>0</v>
      </c>
      <c r="H52" s="9">
        <f>SUM(COUNTIF(INDIRECT("H$4:H"&amp;(ROW()-1)),"○"),COUNTIF(INDIRECT("H$4:H"&amp;(ROW()-1)),"〇"),COUNTIF(INDIRECT("H$4:H"&amp;(ROW()-1)),"出"),COUNTIF(INDIRECT("H$4:H"&amp;(ROW()-1)),"早"),COUNTIF(INDIRECT("H$4:H"&amp;(ROW()-1)),"遅"),COUNTIF(INDIRECT("H$4:H"&amp;(ROW()-1)),"E"),COUNTIF(INDIRECT("H$4:H"&amp;(ROW()-1)),"8時"),COUNTIF(INDIRECT("H$4:H"&amp;(ROW()-1)),"ハヤ"),COUNTIF(INDIRECT("H$4:H"&amp;(ROW()-1)),"オソ"),COUNTIF(INDIRECT("H$4:H"&amp;(ROW()-1)),"イブ"))</f>
        <v>0</v>
      </c>
      <c r="I52" s="9">
        <f>SUM(COUNTIF(INDIRECT("I$4:I"&amp;(ROW()-1)),"○"),COUNTIF(INDIRECT("I$4:I"&amp;(ROW()-1)),"〇"),COUNTIF(INDIRECT("I$4:I"&amp;(ROW()-1)),"出"),COUNTIF(INDIRECT("I$4:I"&amp;(ROW()-1)),"早"),COUNTIF(INDIRECT("I$4:I"&amp;(ROW()-1)),"遅"),COUNTIF(INDIRECT("I$4:I"&amp;(ROW()-1)),"E"),COUNTIF(INDIRECT("I$4:I"&amp;(ROW()-1)),"8時"),COUNTIF(INDIRECT("I$4:I"&amp;(ROW()-1)),"ハヤ"),COUNTIF(INDIRECT("I$4:I"&amp;(ROW()-1)),"オソ"),COUNTIF(INDIRECT("I$4:I"&amp;(ROW()-1)),"イブ"))</f>
        <v>0</v>
      </c>
      <c r="J52" s="9">
        <f>SUM(COUNTIF(INDIRECT("J$4:J"&amp;(ROW()-1)),"○"),COUNTIF(INDIRECT("J$4:J"&amp;(ROW()-1)),"〇"),COUNTIF(INDIRECT("J$4:J"&amp;(ROW()-1)),"出"),COUNTIF(INDIRECT("J$4:J"&amp;(ROW()-1)),"早"),COUNTIF(INDIRECT("J$4:J"&amp;(ROW()-1)),"遅"),COUNTIF(INDIRECT("J$4:J"&amp;(ROW()-1)),"E"),COUNTIF(INDIRECT("J$4:J"&amp;(ROW()-1)),"8時"),COUNTIF(INDIRECT("J$4:J"&amp;(ROW()-1)),"ハヤ"),COUNTIF(INDIRECT("J$4:J"&amp;(ROW()-1)),"オソ"),COUNTIF(INDIRECT("J$4:J"&amp;(ROW()-1)),"イブ"))</f>
        <v>0</v>
      </c>
      <c r="K52" s="9">
        <f>SUM(COUNTIF(INDIRECT("K$4:K"&amp;(ROW()-1)),"○"),COUNTIF(INDIRECT("K$4:K"&amp;(ROW()-1)),"〇"),COUNTIF(INDIRECT("K$4:K"&amp;(ROW()-1)),"出"),COUNTIF(INDIRECT("K$4:K"&amp;(ROW()-1)),"早"),COUNTIF(INDIRECT("K$4:K"&amp;(ROW()-1)),"遅"),COUNTIF(INDIRECT("K$4:K"&amp;(ROW()-1)),"E"),COUNTIF(INDIRECT("K$4:K"&amp;(ROW()-1)),"8時"),COUNTIF(INDIRECT("K$4:K"&amp;(ROW()-1)),"ハヤ"),COUNTIF(INDIRECT("K$4:K"&amp;(ROW()-1)),"オソ"),COUNTIF(INDIRECT("K$4:K"&amp;(ROW()-1)),"イブ"))</f>
        <v>0</v>
      </c>
      <c r="L52" s="9">
        <f>SUM(COUNTIF(INDIRECT("L$4:L"&amp;(ROW()-1)),"○"),COUNTIF(INDIRECT("L$4:L"&amp;(ROW()-1)),"〇"),COUNTIF(INDIRECT("L$4:L"&amp;(ROW()-1)),"出"),COUNTIF(INDIRECT("L$4:L"&amp;(ROW()-1)),"早"),COUNTIF(INDIRECT("L$4:L"&amp;(ROW()-1)),"遅"),COUNTIF(INDIRECT("L$4:L"&amp;(ROW()-1)),"E"),COUNTIF(INDIRECT("L$4:L"&amp;(ROW()-1)),"8時"),COUNTIF(INDIRECT("L$4:L"&amp;(ROW()-1)),"ハヤ"),COUNTIF(INDIRECT("L$4:L"&amp;(ROW()-1)),"オソ"),COUNTIF(INDIRECT("L$4:L"&amp;(ROW()-1)),"イブ"))</f>
        <v>0</v>
      </c>
      <c r="M52" s="9">
        <f>SUM(COUNTIF(INDIRECT("M$4:M"&amp;(ROW()-1)),"○"),COUNTIF(INDIRECT("M$4:M"&amp;(ROW()-1)),"〇"),COUNTIF(INDIRECT("M$4:M"&amp;(ROW()-1)),"出"),COUNTIF(INDIRECT("M$4:M"&amp;(ROW()-1)),"早"),COUNTIF(INDIRECT("M$4:M"&amp;(ROW()-1)),"遅"),COUNTIF(INDIRECT("M$4:M"&amp;(ROW()-1)),"E"),COUNTIF(INDIRECT("M$4:M"&amp;(ROW()-1)),"8時"),COUNTIF(INDIRECT("M$4:M"&amp;(ROW()-1)),"ハヤ"),COUNTIF(INDIRECT("M$4:M"&amp;(ROW()-1)),"オソ"),COUNTIF(INDIRECT("M$4:M"&amp;(ROW()-1)),"イブ"))</f>
        <v>0</v>
      </c>
      <c r="N52" s="9">
        <f>SUM(COUNTIF(INDIRECT("N$4:N"&amp;(ROW()-1)),"○"),COUNTIF(INDIRECT("N$4:N"&amp;(ROW()-1)),"〇"),COUNTIF(INDIRECT("N$4:N"&amp;(ROW()-1)),"出"),COUNTIF(INDIRECT("N$4:N"&amp;(ROW()-1)),"早"),COUNTIF(INDIRECT("N$4:N"&amp;(ROW()-1)),"遅"),COUNTIF(INDIRECT("N$4:N"&amp;(ROW()-1)),"E"),COUNTIF(INDIRECT("N$4:N"&amp;(ROW()-1)),"8時"),COUNTIF(INDIRECT("N$4:N"&amp;(ROW()-1)),"ハヤ"),COUNTIF(INDIRECT("N$4:N"&amp;(ROW()-1)),"オソ"),COUNTIF(INDIRECT("N$4:N"&amp;(ROW()-1)),"イブ"))</f>
        <v>0</v>
      </c>
      <c r="O52" s="9">
        <f>SUM(COUNTIF(INDIRECT("O$4:O"&amp;(ROW()-1)),"○"),COUNTIF(INDIRECT("O$4:O"&amp;(ROW()-1)),"〇"),COUNTIF(INDIRECT("O$4:O"&amp;(ROW()-1)),"出"),COUNTIF(INDIRECT("O$4:O"&amp;(ROW()-1)),"早"),COUNTIF(INDIRECT("O$4:O"&amp;(ROW()-1)),"遅"),COUNTIF(INDIRECT("O$4:O"&amp;(ROW()-1)),"E"),COUNTIF(INDIRECT("O$4:O"&amp;(ROW()-1)),"8時"),COUNTIF(INDIRECT("O$4:O"&amp;(ROW()-1)),"ハヤ"),COUNTIF(INDIRECT("O$4:O"&amp;(ROW()-1)),"オソ"),COUNTIF(INDIRECT("O$4:O"&amp;(ROW()-1)),"イブ"))</f>
        <v>0</v>
      </c>
      <c r="P52" s="9">
        <f>SUM(COUNTIF(INDIRECT("P$4:P"&amp;(ROW()-1)),"○"),COUNTIF(INDIRECT("P$4:P"&amp;(ROW()-1)),"〇"),COUNTIF(INDIRECT("P$4:P"&amp;(ROW()-1)),"出"),COUNTIF(INDIRECT("P$4:P"&amp;(ROW()-1)),"早"),COUNTIF(INDIRECT("P$4:P"&amp;(ROW()-1)),"遅"),COUNTIF(INDIRECT("P$4:P"&amp;(ROW()-1)),"E"),COUNTIF(INDIRECT("P$4:P"&amp;(ROW()-1)),"8時"),COUNTIF(INDIRECT("P$4:P"&amp;(ROW()-1)),"ハヤ"),COUNTIF(INDIRECT("P$4:P"&amp;(ROW()-1)),"オソ"),COUNTIF(INDIRECT("P$4:P"&amp;(ROW()-1)),"イブ"))</f>
        <v>0</v>
      </c>
      <c r="Q52" s="9">
        <f>SUM(COUNTIF(INDIRECT("Q$4:Q"&amp;(ROW()-1)),"○"),COUNTIF(INDIRECT("Q$4:Q"&amp;(ROW()-1)),"〇"),COUNTIF(INDIRECT("Q$4:Q"&amp;(ROW()-1)),"出"),COUNTIF(INDIRECT("Q$4:Q"&amp;(ROW()-1)),"早"),COUNTIF(INDIRECT("Q$4:Q"&amp;(ROW()-1)),"遅"),COUNTIF(INDIRECT("Q$4:Q"&amp;(ROW()-1)),"E"),COUNTIF(INDIRECT("Q$4:Q"&amp;(ROW()-1)),"8時"),COUNTIF(INDIRECT("Q$4:Q"&amp;(ROW()-1)),"ハヤ"),COUNTIF(INDIRECT("Q$4:Q"&amp;(ROW()-1)),"オソ"),COUNTIF(INDIRECT("Q$4:Q"&amp;(ROW()-1)),"イブ"))</f>
        <v>0</v>
      </c>
      <c r="R52" s="9">
        <f>SUM(COUNTIF(INDIRECT("R$4:R"&amp;(ROW()-1)),"○"),COUNTIF(INDIRECT("R$4:R"&amp;(ROW()-1)),"〇"),COUNTIF(INDIRECT("R$4:R"&amp;(ROW()-1)),"出"),COUNTIF(INDIRECT("R$4:R"&amp;(ROW()-1)),"早"),COUNTIF(INDIRECT("R$4:R"&amp;(ROW()-1)),"遅"),COUNTIF(INDIRECT("R$4:R"&amp;(ROW()-1)),"E"),COUNTIF(INDIRECT("R$4:R"&amp;(ROW()-1)),"8時"),COUNTIF(INDIRECT("R$4:R"&amp;(ROW()-1)),"ハヤ"),COUNTIF(INDIRECT("R$4:R"&amp;(ROW()-1)),"オソ"),COUNTIF(INDIRECT("R$4:R"&amp;(ROW()-1)),"イブ"))</f>
        <v>0</v>
      </c>
      <c r="S52" s="9">
        <f>SUM(COUNTIF(INDIRECT("S$4:S"&amp;(ROW()-1)),"○"),COUNTIF(INDIRECT("S$4:S"&amp;(ROW()-1)),"〇"),COUNTIF(INDIRECT("S$4:S"&amp;(ROW()-1)),"出"),COUNTIF(INDIRECT("S$4:S"&amp;(ROW()-1)),"早"),COUNTIF(INDIRECT("S$4:S"&amp;(ROW()-1)),"遅"),COUNTIF(INDIRECT("S$4:S"&amp;(ROW()-1)),"E"),COUNTIF(INDIRECT("S$4:S"&amp;(ROW()-1)),"8時"),COUNTIF(INDIRECT("S$4:S"&amp;(ROW()-1)),"ハヤ"),COUNTIF(INDIRECT("S$4:S"&amp;(ROW()-1)),"オソ"),COUNTIF(INDIRECT("S$4:S"&amp;(ROW()-1)),"イブ"))</f>
        <v>0</v>
      </c>
      <c r="T52" s="9">
        <f>SUM(COUNTIF(INDIRECT("T$4:T"&amp;(ROW()-1)),"○"),COUNTIF(INDIRECT("T$4:T"&amp;(ROW()-1)),"〇"),COUNTIF(INDIRECT("T$4:T"&amp;(ROW()-1)),"出"),COUNTIF(INDIRECT("T$4:T"&amp;(ROW()-1)),"早"),COUNTIF(INDIRECT("T$4:T"&amp;(ROW()-1)),"遅"),COUNTIF(INDIRECT("T$4:T"&amp;(ROW()-1)),"E"),COUNTIF(INDIRECT("T$4:T"&amp;(ROW()-1)),"8時"),COUNTIF(INDIRECT("T$4:T"&amp;(ROW()-1)),"ハヤ"),COUNTIF(INDIRECT("T$4:T"&amp;(ROW()-1)),"オソ"),COUNTIF(INDIRECT("T$4:T"&amp;(ROW()-1)),"イブ"))</f>
        <v>0</v>
      </c>
      <c r="U52" s="9">
        <f>SUM(COUNTIF(INDIRECT("U$4:U"&amp;(ROW()-1)),"○"),COUNTIF(INDIRECT("U$4:U"&amp;(ROW()-1)),"〇"),COUNTIF(INDIRECT("U$4:U"&amp;(ROW()-1)),"出"),COUNTIF(INDIRECT("U$4:U"&amp;(ROW()-1)),"早"),COUNTIF(INDIRECT("U$4:U"&amp;(ROW()-1)),"遅"),COUNTIF(INDIRECT("U$4:U"&amp;(ROW()-1)),"E"),COUNTIF(INDIRECT("U$4:U"&amp;(ROW()-1)),"8時"),COUNTIF(INDIRECT("U$4:U"&amp;(ROW()-1)),"ハヤ"),COUNTIF(INDIRECT("U$4:U"&amp;(ROW()-1)),"オソ"),COUNTIF(INDIRECT("U$4:U"&amp;(ROW()-1)),"イブ"))</f>
        <v>0</v>
      </c>
      <c r="V52" s="9">
        <f>SUM(COUNTIF(INDIRECT("V$4:V"&amp;(ROW()-1)),"○"),COUNTIF(INDIRECT("V$4:V"&amp;(ROW()-1)),"〇"),COUNTIF(INDIRECT("V$4:V"&amp;(ROW()-1)),"出"),COUNTIF(INDIRECT("V$4:V"&amp;(ROW()-1)),"早"),COUNTIF(INDIRECT("V$4:V"&amp;(ROW()-1)),"遅"),COUNTIF(INDIRECT("V$4:V"&amp;(ROW()-1)),"E"),COUNTIF(INDIRECT("V$4:V"&amp;(ROW()-1)),"8時"),COUNTIF(INDIRECT("V$4:V"&amp;(ROW()-1)),"ハヤ"),COUNTIF(INDIRECT("V$4:V"&amp;(ROW()-1)),"オソ"),COUNTIF(INDIRECT("V$4:V"&amp;(ROW()-1)),"イブ"))</f>
        <v>0</v>
      </c>
      <c r="W52" s="9">
        <f>SUM(COUNTIF(INDIRECT("W$4:W"&amp;(ROW()-1)),"○"),COUNTIF(INDIRECT("W$4:W"&amp;(ROW()-1)),"〇"),COUNTIF(INDIRECT("W$4:W"&amp;(ROW()-1)),"出"),COUNTIF(INDIRECT("W$4:W"&amp;(ROW()-1)),"早"),COUNTIF(INDIRECT("W$4:W"&amp;(ROW()-1)),"遅"),COUNTIF(INDIRECT("W$4:W"&amp;(ROW()-1)),"E"),COUNTIF(INDIRECT("W$4:W"&amp;(ROW()-1)),"8時"),COUNTIF(INDIRECT("W$4:W"&amp;(ROW()-1)),"ハヤ"),COUNTIF(INDIRECT("W$4:W"&amp;(ROW()-1)),"オソ"),COUNTIF(INDIRECT("W$4:W"&amp;(ROW()-1)),"イブ"))</f>
        <v>0</v>
      </c>
      <c r="X52" s="9">
        <f>SUM(COUNTIF(INDIRECT("X$4:X"&amp;(ROW()-1)),"○"),COUNTIF(INDIRECT("X$4:X"&amp;(ROW()-1)),"〇"),COUNTIF(INDIRECT("X$4:X"&amp;(ROW()-1)),"出"),COUNTIF(INDIRECT("X$4:X"&amp;(ROW()-1)),"早"),COUNTIF(INDIRECT("X$4:X"&amp;(ROW()-1)),"遅"),COUNTIF(INDIRECT("X$4:X"&amp;(ROW()-1)),"E"),COUNTIF(INDIRECT("X$4:X"&amp;(ROW()-1)),"8時"),COUNTIF(INDIRECT("X$4:X"&amp;(ROW()-1)),"ハヤ"),COUNTIF(INDIRECT("X$4:X"&amp;(ROW()-1)),"オソ"),COUNTIF(INDIRECT("X$4:X"&amp;(ROW()-1)),"イブ"))</f>
        <v>0</v>
      </c>
      <c r="Y52" s="9">
        <f>SUM(COUNTIF(INDIRECT("Y$4:Y"&amp;(ROW()-1)),"○"),COUNTIF(INDIRECT("Y$4:Y"&amp;(ROW()-1)),"〇"),COUNTIF(INDIRECT("Y$4:Y"&amp;(ROW()-1)),"出"),COUNTIF(INDIRECT("Y$4:Y"&amp;(ROW()-1)),"早"),COUNTIF(INDIRECT("Y$4:Y"&amp;(ROW()-1)),"遅"),COUNTIF(INDIRECT("Y$4:Y"&amp;(ROW()-1)),"E"),COUNTIF(INDIRECT("Y$4:Y"&amp;(ROW()-1)),"8時"),COUNTIF(INDIRECT("Y$4:Y"&amp;(ROW()-1)),"ハヤ"),COUNTIF(INDIRECT("Y$4:Y"&amp;(ROW()-1)),"オソ"),COUNTIF(INDIRECT("Y$4:Y"&amp;(ROW()-1)),"イブ"))</f>
        <v>0</v>
      </c>
      <c r="Z52" s="9">
        <f>SUM(COUNTIF(INDIRECT("Z$4:Z"&amp;(ROW()-1)),"○"),COUNTIF(INDIRECT("Z$4:Z"&amp;(ROW()-1)),"〇"),COUNTIF(INDIRECT("Z$4:Z"&amp;(ROW()-1)),"出"),COUNTIF(INDIRECT("Z$4:Z"&amp;(ROW()-1)),"早"),COUNTIF(INDIRECT("Z$4:Z"&amp;(ROW()-1)),"遅"),COUNTIF(INDIRECT("Z$4:Z"&amp;(ROW()-1)),"E"),COUNTIF(INDIRECT("Z$4:Z"&amp;(ROW()-1)),"8時"),COUNTIF(INDIRECT("Z$4:Z"&amp;(ROW()-1)),"ハヤ"),COUNTIF(INDIRECT("Z$4:Z"&amp;(ROW()-1)),"オソ"),COUNTIF(INDIRECT("Z$4:Z"&amp;(ROW()-1)),"イブ"))</f>
        <v>0</v>
      </c>
      <c r="AA52" s="9">
        <f>SUM(COUNTIF(INDIRECT("AA$4:AA"&amp;(ROW()-1)),"○"),COUNTIF(INDIRECT("AA$4:AA"&amp;(ROW()-1)),"〇"),COUNTIF(INDIRECT("AA$4:AA"&amp;(ROW()-1)),"出"),COUNTIF(INDIRECT("AA$4:AA"&amp;(ROW()-1)),"早"),COUNTIF(INDIRECT("AA$4:AA"&amp;(ROW()-1)),"遅"),COUNTIF(INDIRECT("AA$4:AA"&amp;(ROW()-1)),"E"),COUNTIF(INDIRECT("AA$4:AA"&amp;(ROW()-1)),"8時"),COUNTIF(INDIRECT("AA$4:AA"&amp;(ROW()-1)),"ハヤ"),COUNTIF(INDIRECT("AA$4:AA"&amp;(ROW()-1)),"オソ"),COUNTIF(INDIRECT("AA$4:AA"&amp;(ROW()-1)),"イブ"))</f>
        <v>0</v>
      </c>
      <c r="AB52" s="9">
        <f>SUM(COUNTIF(INDIRECT("AB$4:AB"&amp;(ROW()-1)),"○"),COUNTIF(INDIRECT("AB$4:AB"&amp;(ROW()-1)),"〇"),COUNTIF(INDIRECT("AB$4:AB"&amp;(ROW()-1)),"出"),COUNTIF(INDIRECT("AB$4:AB"&amp;(ROW()-1)),"早"),COUNTIF(INDIRECT("AB$4:AB"&amp;(ROW()-1)),"遅"),COUNTIF(INDIRECT("AB$4:AB"&amp;(ROW()-1)),"E"),COUNTIF(INDIRECT("AB$4:AB"&amp;(ROW()-1)),"8時"),COUNTIF(INDIRECT("AB$4:AB"&amp;(ROW()-1)),"ハヤ"),COUNTIF(INDIRECT("AB$4:AB"&amp;(ROW()-1)),"オソ"),COUNTIF(INDIRECT("AB$4:AB"&amp;(ROW()-1)),"イブ"))</f>
        <v>0</v>
      </c>
      <c r="AC52" s="9">
        <f>SUM(COUNTIF(INDIRECT("AC$4:AC"&amp;(ROW()-1)),"○"),COUNTIF(INDIRECT("AC$4:AC"&amp;(ROW()-1)),"〇"),COUNTIF(INDIRECT("AC$4:AC"&amp;(ROW()-1)),"出"),COUNTIF(INDIRECT("AC$4:AC"&amp;(ROW()-1)),"早"),COUNTIF(INDIRECT("AC$4:AC"&amp;(ROW()-1)),"遅"),COUNTIF(INDIRECT("AC$4:AC"&amp;(ROW()-1)),"E"),COUNTIF(INDIRECT("AC$4:AC"&amp;(ROW()-1)),"8時"),COUNTIF(INDIRECT("AC$4:AC"&amp;(ROW()-1)),"ハヤ"),COUNTIF(INDIRECT("AC$4:AC"&amp;(ROW()-1)),"オソ"),COUNTIF(INDIRECT("AC$4:AC"&amp;(ROW()-1)),"イブ"))</f>
        <v>0</v>
      </c>
      <c r="AD52" s="9">
        <f>SUM(INDIRECT("AD$4:AD"&amp;(ROW()-1)))</f>
        <v>0</v>
      </c>
      <c r="AE52" s="9">
        <f>SUM(INDIRECT("AE$4:AE"&amp;(ROW()-1)))</f>
        <v>0</v>
      </c>
      <c r="AF52" s="9">
        <f>SUM(INDIRECT("AF$4:AF"&amp;(ROW()-1)))</f>
        <v>0</v>
      </c>
      <c r="AG52" s="9">
        <f>SUM(INDIRECT("AG$4:AG"&amp;(ROW()-1)))</f>
        <v>0</v>
      </c>
      <c r="AH52" s="13">
        <f>SUM(INDIRECT("AH$4:AH"&amp;(ROW()-1)))</f>
        <v>0</v>
      </c>
      <c r="AI52" s="13">
        <f>SUM(INDIRECT("AI$4:AI"&amp;(ROW()-1)))</f>
        <v>0</v>
      </c>
      <c r="AJ52" s="13">
        <f>SUM(INDIRECT("AJ$4:AJ"&amp;(ROW()-1)))</f>
        <v>0</v>
      </c>
      <c r="AK52" s="13">
        <f>SUM(INDIRECT("AK$4:AK"&amp;(ROW()-1)))</f>
        <v>0</v>
      </c>
    </row>
  </sheetData>
  <pageMargins left="0.25" right="0.25" top="0.3" bottom="0.3" header="0.2" footer="0.2"/>
  <pageSetup paperSize="8" orientation="landscape" fitToWidth="1" fitToHeight="1"/>
</worksheet>
</file>