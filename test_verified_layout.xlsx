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4月1日～4月28日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7.0" customWidth="1"/>
    <col min="2" max="29" width="7.5" customWidth="1"/>
    <col min="30" max="32" width="13.0" customWidth="1"/>
    <col min="33" max="37" width="9.5" customWidth="1"/>
  </cols>
  <sheetData>
    <row r="1" ht="28" customHeight="1">
      <c r="A1" s="1" t="inlineStr">
        <is>
          <t>4月1日～4月28日 勤務表</t>
        </is>
      </c>
      <c r="AD1" s="2" t="inlineStr">
        <is>
          <t>勤務・休暇 集計</t>
        </is>
      </c>
    </row>
    <row r="2" ht="24" customHeight="1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  <c r="AD2" s="2" t="inlineStr">
        <is>
          <t>出勤</t>
        </is>
      </c>
      <c r="AE2" s="2" t="inlineStr">
        <is>
          <t>公休</t>
        </is>
      </c>
      <c r="AF2" s="2" t="inlineStr">
        <is>
          <t>有休</t>
        </is>
      </c>
      <c r="AG2" s="2" t="inlineStr">
        <is>
          <t>リフ</t>
        </is>
      </c>
      <c r="AH2" s="2" t="inlineStr">
        <is>
          <t>早</t>
        </is>
      </c>
      <c r="AI2" s="2" t="inlineStr">
        <is>
          <t>遅</t>
        </is>
      </c>
      <c r="AJ2" s="2" t="inlineStr">
        <is>
          <t>E</t>
        </is>
      </c>
      <c r="AK2" s="2" t="inlineStr">
        <is>
          <t>8時</t>
        </is>
      </c>
    </row>
    <row r="3" ht="20" customHeight="1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  <c r="AD3" s="2"/>
      <c r="AE3" s="2"/>
      <c r="AF3" s="2"/>
      <c r="AG3" s="2"/>
      <c r="AH3" s="2"/>
      <c r="AI3" s="2"/>
      <c r="AJ3" s="2"/>
      <c r="AK3" s="2"/>
    </row>
    <row r="4" ht="41.25" customHeight="1">
      <c r="A4" s="5" t="inlineStr">
        <is>
          <t>スタッフ 01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COUNTIF(B4:AC4,"〇")</f>
        <v>20</v>
      </c>
      <c r="AE4" s="8">
        <f>COUNTIF(B4:AC4,"休")</f>
        <v>8</v>
      </c>
      <c r="AF4" s="8">
        <f>COUNTIF(B4:AC4,"有")</f>
        <v>0</v>
      </c>
      <c r="AG4" s="8">
        <f>COUNTIF(B4:AC4,"リフ")</f>
        <v>0</v>
      </c>
      <c r="AH4" s="13">
        <f>COUNTIF(B4:AC4,"早")</f>
        <v>1</v>
      </c>
      <c r="AI4" s="13">
        <f>COUNTIF(B4:AC4,"遅")</f>
        <v>1</v>
      </c>
      <c r="AJ4" s="13">
        <f>COUNTIF(B4:AC4,"E")</f>
        <v>1</v>
      </c>
      <c r="AK4" s="13">
        <f>COUNTIF(B4:AC4,"8時")</f>
        <v>3</v>
      </c>
    </row>
    <row r="5" ht="41.25" customHeight="1">
      <c r="A5" s="5" t="inlineStr">
        <is>
          <t>スタッフ 02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COUNTIF(B5:AC5,"〇")</f>
        <v>20</v>
      </c>
      <c r="AE5" s="8">
        <f>COUNTIF(B5:AC5,"休")</f>
        <v>8</v>
      </c>
      <c r="AF5" s="8">
        <f>COUNTIF(B5:AC5,"有")</f>
        <v>0</v>
      </c>
      <c r="AG5" s="8">
        <f>COUNTIF(B5:AC5,"リフ")</f>
        <v>0</v>
      </c>
      <c r="AH5" s="13">
        <f>COUNTIF(B5:AC5,"早")</f>
        <v>1</v>
      </c>
      <c r="AI5" s="13">
        <f>COUNTIF(B5:AC5,"遅")</f>
        <v>1</v>
      </c>
      <c r="AJ5" s="13">
        <f>COUNTIF(B5:AC5,"E")</f>
        <v>1</v>
      </c>
      <c r="AK5" s="13">
        <f>COUNTIF(B5:AC5,"8時")</f>
        <v>3</v>
      </c>
    </row>
    <row r="6" ht="41.25" customHeight="1">
      <c r="A6" s="5" t="inlineStr">
        <is>
          <t>スタッフ 03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COUNTIF(B6:AC6,"〇")</f>
        <v>20</v>
      </c>
      <c r="AE6" s="8">
        <f>COUNTIF(B6:AC6,"休")</f>
        <v>8</v>
      </c>
      <c r="AF6" s="8">
        <f>COUNTIF(B6:AC6,"有")</f>
        <v>0</v>
      </c>
      <c r="AG6" s="8">
        <f>COUNTIF(B6:AC6,"リフ")</f>
        <v>0</v>
      </c>
      <c r="AH6" s="13">
        <f>COUNTIF(B6:AC6,"早")</f>
        <v>1</v>
      </c>
      <c r="AI6" s="13">
        <f>COUNTIF(B6:AC6,"遅")</f>
        <v>1</v>
      </c>
      <c r="AJ6" s="13">
        <f>COUNTIF(B6:AC6,"E")</f>
        <v>1</v>
      </c>
      <c r="AK6" s="13">
        <f>COUNTIF(B6:AC6,"8時")</f>
        <v>3</v>
      </c>
    </row>
    <row r="7" ht="41.25" customHeight="1">
      <c r="A7" s="5" t="inlineStr">
        <is>
          <t>スタッフ 04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COUNTIF(B7:AC7,"〇")</f>
        <v>20</v>
      </c>
      <c r="AE7" s="8">
        <f>COUNTIF(B7:AC7,"休")</f>
        <v>8</v>
      </c>
      <c r="AF7" s="8">
        <f>COUNTIF(B7:AC7,"有")</f>
        <v>0</v>
      </c>
      <c r="AG7" s="8">
        <f>COUNTIF(B7:AC7,"リフ")</f>
        <v>0</v>
      </c>
      <c r="AH7" s="13">
        <f>COUNTIF(B7:AC7,"早")</f>
        <v>1</v>
      </c>
      <c r="AI7" s="13">
        <f>COUNTIF(B7:AC7,"遅")</f>
        <v>1</v>
      </c>
      <c r="AJ7" s="13">
        <f>COUNTIF(B7:AC7,"E")</f>
        <v>1</v>
      </c>
      <c r="AK7" s="13">
        <f>COUNTIF(B7:AC7,"8時")</f>
        <v>3</v>
      </c>
    </row>
    <row r="8" ht="41.25" customHeight="1">
      <c r="A8" s="5" t="inlineStr">
        <is>
          <t>スタッフ 05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COUNTIF(B8:AC8,"〇")</f>
        <v>20</v>
      </c>
      <c r="AE8" s="8">
        <f>COUNTIF(B8:AC8,"休")</f>
        <v>8</v>
      </c>
      <c r="AF8" s="8">
        <f>COUNTIF(B8:AC8,"有")</f>
        <v>0</v>
      </c>
      <c r="AG8" s="8">
        <f>COUNTIF(B8:AC8,"リフ")</f>
        <v>0</v>
      </c>
      <c r="AH8" s="13">
        <f>COUNTIF(B8:AC8,"早")</f>
        <v>1</v>
      </c>
      <c r="AI8" s="13">
        <f>COUNTIF(B8:AC8,"遅")</f>
        <v>1</v>
      </c>
      <c r="AJ8" s="13">
        <f>COUNTIF(B8:AC8,"E")</f>
        <v>1</v>
      </c>
      <c r="AK8" s="13">
        <f>COUNTIF(B8:AC8,"8時")</f>
        <v>3</v>
      </c>
    </row>
    <row r="9" ht="41.25" customHeight="1">
      <c r="A9" s="5" t="inlineStr">
        <is>
          <t>スタッフ 06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COUNTIF(B9:AC9,"〇")</f>
        <v>20</v>
      </c>
      <c r="AE9" s="8">
        <f>COUNTIF(B9:AC9,"休")</f>
        <v>8</v>
      </c>
      <c r="AF9" s="8">
        <f>COUNTIF(B9:AC9,"有")</f>
        <v>0</v>
      </c>
      <c r="AG9" s="8">
        <f>COUNTIF(B9:AC9,"リフ")</f>
        <v>0</v>
      </c>
      <c r="AH9" s="13">
        <f>COUNTIF(B9:AC9,"早")</f>
        <v>1</v>
      </c>
      <c r="AI9" s="13">
        <f>COUNTIF(B9:AC9,"遅")</f>
        <v>1</v>
      </c>
      <c r="AJ9" s="13">
        <f>COUNTIF(B9:AC9,"E")</f>
        <v>1</v>
      </c>
      <c r="AK9" s="13">
        <f>COUNTIF(B9:AC9,"8時")</f>
        <v>3</v>
      </c>
    </row>
    <row r="10" ht="41.25" customHeight="1">
      <c r="A10" s="5" t="inlineStr">
        <is>
          <t>スタッフ 07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COUNTIF(B10:AC10,"〇")</f>
        <v>20</v>
      </c>
      <c r="AE10" s="8">
        <f>COUNTIF(B10:AC10,"休")</f>
        <v>8</v>
      </c>
      <c r="AF10" s="8">
        <f>COUNTIF(B10:AC10,"有")</f>
        <v>0</v>
      </c>
      <c r="AG10" s="8">
        <f>COUNTIF(B10:AC10,"リフ")</f>
        <v>0</v>
      </c>
      <c r="AH10" s="13">
        <f>COUNTIF(B10:AC10,"早")</f>
        <v>1</v>
      </c>
      <c r="AI10" s="13">
        <f>COUNTIF(B10:AC10,"遅")</f>
        <v>1</v>
      </c>
      <c r="AJ10" s="13">
        <f>COUNTIF(B10:AC10,"E")</f>
        <v>1</v>
      </c>
      <c r="AK10" s="13">
        <f>COUNTIF(B10:AC10,"8時")</f>
        <v>3</v>
      </c>
    </row>
    <row r="11" ht="41.25" customHeight="1">
      <c r="A11" s="5" t="inlineStr">
        <is>
          <t>スタッフ 08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COUNTIF(B11:AC11,"〇")</f>
        <v>20</v>
      </c>
      <c r="AE11" s="8">
        <f>COUNTIF(B11:AC11,"休")</f>
        <v>8</v>
      </c>
      <c r="AF11" s="8">
        <f>COUNTIF(B11:AC11,"有")</f>
        <v>0</v>
      </c>
      <c r="AG11" s="8">
        <f>COUNTIF(B11:AC11,"リフ")</f>
        <v>0</v>
      </c>
      <c r="AH11" s="13">
        <f>COUNTIF(B11:AC11,"早")</f>
        <v>1</v>
      </c>
      <c r="AI11" s="13">
        <f>COUNTIF(B11:AC11,"遅")</f>
        <v>1</v>
      </c>
      <c r="AJ11" s="13">
        <f>COUNTIF(B11:AC11,"E")</f>
        <v>1</v>
      </c>
      <c r="AK11" s="13">
        <f>COUNTIF(B11:AC11,"8時")</f>
        <v>3</v>
      </c>
    </row>
    <row r="12" ht="41.25" customHeight="1">
      <c r="A12" s="5" t="inlineStr">
        <is>
          <t>スタッフ 09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COUNTIF(B12:AC12,"〇")</f>
        <v>20</v>
      </c>
      <c r="AE12" s="8">
        <f>COUNTIF(B12:AC12,"休")</f>
        <v>8</v>
      </c>
      <c r="AF12" s="8">
        <f>COUNTIF(B12:AC12,"有")</f>
        <v>0</v>
      </c>
      <c r="AG12" s="8">
        <f>COUNTIF(B12:AC12,"リフ")</f>
        <v>0</v>
      </c>
      <c r="AH12" s="13">
        <f>COUNTIF(B12:AC12,"早")</f>
        <v>1</v>
      </c>
      <c r="AI12" s="13">
        <f>COUNTIF(B12:AC12,"遅")</f>
        <v>1</v>
      </c>
      <c r="AJ12" s="13">
        <f>COUNTIF(B12:AC12,"E")</f>
        <v>1</v>
      </c>
      <c r="AK12" s="13">
        <f>COUNTIF(B12:AC12,"8時")</f>
        <v>3</v>
      </c>
    </row>
    <row r="13" ht="41.25" customHeight="1">
      <c r="A13" s="5" t="inlineStr">
        <is>
          <t>スタッフ 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COUNTIF(B13:AC13,"〇")</f>
        <v>20</v>
      </c>
      <c r="AE13" s="8">
        <f>COUNTIF(B13:AC13,"休")</f>
        <v>8</v>
      </c>
      <c r="AF13" s="8">
        <f>COUNTIF(B13:AC13,"有")</f>
        <v>0</v>
      </c>
      <c r="AG13" s="8">
        <f>COUNTIF(B13:AC13,"リフ")</f>
        <v>0</v>
      </c>
      <c r="AH13" s="13">
        <f>COUNTIF(B13:AC13,"早")</f>
        <v>1</v>
      </c>
      <c r="AI13" s="13">
        <f>COUNTIF(B13:AC13,"遅")</f>
        <v>1</v>
      </c>
      <c r="AJ13" s="13">
        <f>COUNTIF(B13:AC13,"E")</f>
        <v>1</v>
      </c>
      <c r="AK13" s="13">
        <f>COUNTIF(B13:AC13,"8時")</f>
        <v>3</v>
      </c>
    </row>
    <row r="14" ht="41.25" customHeight="1">
      <c r="A14" s="5" t="inlineStr">
        <is>
          <t>スタッフ 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COUNTIF(B14:AC14,"〇")</f>
        <v>20</v>
      </c>
      <c r="AE14" s="8">
        <f>COUNTIF(B14:AC14,"休")</f>
        <v>8</v>
      </c>
      <c r="AF14" s="8">
        <f>COUNTIF(B14:AC14,"有")</f>
        <v>0</v>
      </c>
      <c r="AG14" s="8">
        <f>COUNTIF(B14:AC14,"リフ")</f>
        <v>0</v>
      </c>
      <c r="AH14" s="13">
        <f>COUNTIF(B14:AC14,"早")</f>
        <v>1</v>
      </c>
      <c r="AI14" s="13">
        <f>COUNTIF(B14:AC14,"遅")</f>
        <v>1</v>
      </c>
      <c r="AJ14" s="13">
        <f>COUNTIF(B14:AC14,"E")</f>
        <v>1</v>
      </c>
      <c r="AK14" s="13">
        <f>COUNTIF(B14:AC14,"8時")</f>
        <v>3</v>
      </c>
    </row>
    <row r="15" ht="41.25" customHeight="1">
      <c r="A15" s="5" t="inlineStr">
        <is>
          <t>スタッフ 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COUNTIF(B15:AC15,"〇")</f>
        <v>20</v>
      </c>
      <c r="AE15" s="8">
        <f>COUNTIF(B15:AC15,"休")</f>
        <v>8</v>
      </c>
      <c r="AF15" s="8">
        <f>COUNTIF(B15:AC15,"有")</f>
        <v>0</v>
      </c>
      <c r="AG15" s="8">
        <f>COUNTIF(B15:AC15,"リフ")</f>
        <v>0</v>
      </c>
      <c r="AH15" s="13">
        <f>COUNTIF(B15:AC15,"早")</f>
        <v>1</v>
      </c>
      <c r="AI15" s="13">
        <f>COUNTIF(B15:AC15,"遅")</f>
        <v>1</v>
      </c>
      <c r="AJ15" s="13">
        <f>COUNTIF(B15:AC15,"E")</f>
        <v>1</v>
      </c>
      <c r="AK15" s="13">
        <f>COUNTIF(B15:AC15,"8時")</f>
        <v>3</v>
      </c>
    </row>
    <row r="16" ht="41.25" customHeight="1">
      <c r="A16" s="5" t="inlineStr">
        <is>
          <t>スタッフ 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COUNTIF(B16:AC16,"〇")</f>
        <v>20</v>
      </c>
      <c r="AE16" s="8">
        <f>COUNTIF(B16:AC16,"休")</f>
        <v>8</v>
      </c>
      <c r="AF16" s="8">
        <f>COUNTIF(B16:AC16,"有")</f>
        <v>0</v>
      </c>
      <c r="AG16" s="8">
        <f>COUNTIF(B16:AC16,"リフ")</f>
        <v>0</v>
      </c>
      <c r="AH16" s="13">
        <f>COUNTIF(B16:AC16,"早")</f>
        <v>1</v>
      </c>
      <c r="AI16" s="13">
        <f>COUNTIF(B16:AC16,"遅")</f>
        <v>1</v>
      </c>
      <c r="AJ16" s="13">
        <f>COUNTIF(B16:AC16,"E")</f>
        <v>1</v>
      </c>
      <c r="AK16" s="13">
        <f>COUNTIF(B16:AC16,"8時")</f>
        <v>3</v>
      </c>
    </row>
    <row r="17" ht="41.25" customHeight="1">
      <c r="A17" s="5" t="inlineStr">
        <is>
          <t>スタッフ 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COUNTIF(B17:AC17,"〇")</f>
        <v>20</v>
      </c>
      <c r="AE17" s="8">
        <f>COUNTIF(B17:AC17,"休")</f>
        <v>8</v>
      </c>
      <c r="AF17" s="8">
        <f>COUNTIF(B17:AC17,"有")</f>
        <v>0</v>
      </c>
      <c r="AG17" s="8">
        <f>COUNTIF(B17:AC17,"リフ")</f>
        <v>0</v>
      </c>
      <c r="AH17" s="13">
        <f>COUNTIF(B17:AC17,"早")</f>
        <v>1</v>
      </c>
      <c r="AI17" s="13">
        <f>COUNTIF(B17:AC17,"遅")</f>
        <v>1</v>
      </c>
      <c r="AJ17" s="13">
        <f>COUNTIF(B17:AC17,"E")</f>
        <v>1</v>
      </c>
      <c r="AK17" s="13">
        <f>COUNTIF(B17:AC17,"8時")</f>
        <v>3</v>
      </c>
    </row>
    <row r="18" ht="41.25" customHeight="1">
      <c r="A18" s="5" t="inlineStr">
        <is>
          <t>スタッフ 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COUNTIF(B18:AC18,"〇")</f>
        <v>20</v>
      </c>
      <c r="AE18" s="8">
        <f>COUNTIF(B18:AC18,"休")</f>
        <v>8</v>
      </c>
      <c r="AF18" s="8">
        <f>COUNTIF(B18:AC18,"有")</f>
        <v>0</v>
      </c>
      <c r="AG18" s="8">
        <f>COUNTIF(B18:AC18,"リフ")</f>
        <v>0</v>
      </c>
      <c r="AH18" s="13">
        <f>COUNTIF(B18:AC18,"早")</f>
        <v>1</v>
      </c>
      <c r="AI18" s="13">
        <f>COUNTIF(B18:AC18,"遅")</f>
        <v>1</v>
      </c>
      <c r="AJ18" s="13">
        <f>COUNTIF(B18:AC18,"E")</f>
        <v>1</v>
      </c>
      <c r="AK18" s="13">
        <f>COUNTIF(B18:AC18,"8時")</f>
        <v>3</v>
      </c>
    </row>
    <row r="19" ht="41.25" customHeight="1">
      <c r="A19" s="5" t="inlineStr">
        <is>
          <t>スタッフ 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COUNTIF(B19:AC19,"〇")</f>
        <v>20</v>
      </c>
      <c r="AE19" s="8">
        <f>COUNTIF(B19:AC19,"休")</f>
        <v>8</v>
      </c>
      <c r="AF19" s="8">
        <f>COUNTIF(B19:AC19,"有")</f>
        <v>0</v>
      </c>
      <c r="AG19" s="8">
        <f>COUNTIF(B19:AC19,"リフ")</f>
        <v>0</v>
      </c>
      <c r="AH19" s="13">
        <f>COUNTIF(B19:AC19,"早")</f>
        <v>1</v>
      </c>
      <c r="AI19" s="13">
        <f>COUNTIF(B19:AC19,"遅")</f>
        <v>1</v>
      </c>
      <c r="AJ19" s="13">
        <f>COUNTIF(B19:AC19,"E")</f>
        <v>1</v>
      </c>
      <c r="AK19" s="13">
        <f>COUNTIF(B19:AC19,"8時")</f>
        <v>3</v>
      </c>
    </row>
    <row r="20" ht="41.25" customHeight="1">
      <c r="A20" s="5" t="inlineStr">
        <is>
          <t>スタッフ 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COUNTIF(B20:AC20,"〇")</f>
        <v>20</v>
      </c>
      <c r="AE20" s="8">
        <f>COUNTIF(B20:AC20,"休")</f>
        <v>8</v>
      </c>
      <c r="AF20" s="8">
        <f>COUNTIF(B20:AC20,"有")</f>
        <v>0</v>
      </c>
      <c r="AG20" s="8">
        <f>COUNTIF(B20:AC20,"リフ")</f>
        <v>0</v>
      </c>
      <c r="AH20" s="13">
        <f>COUNTIF(B20:AC20,"早")</f>
        <v>1</v>
      </c>
      <c r="AI20" s="13">
        <f>COUNTIF(B20:AC20,"遅")</f>
        <v>1</v>
      </c>
      <c r="AJ20" s="13">
        <f>COUNTIF(B20:AC20,"E")</f>
        <v>1</v>
      </c>
      <c r="AK20" s="13">
        <f>COUNTIF(B20:AC20,"8時")</f>
        <v>3</v>
      </c>
    </row>
    <row r="21" ht="41.25" customHeight="1">
      <c r="A21" s="5" t="inlineStr">
        <is>
          <t>スタッフ 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COUNTIF(B21:AC21,"〇")</f>
        <v>20</v>
      </c>
      <c r="AE21" s="8">
        <f>COUNTIF(B21:AC21,"休")</f>
        <v>8</v>
      </c>
      <c r="AF21" s="8">
        <f>COUNTIF(B21:AC21,"有")</f>
        <v>0</v>
      </c>
      <c r="AG21" s="8">
        <f>COUNTIF(B21:AC21,"リフ")</f>
        <v>0</v>
      </c>
      <c r="AH21" s="13">
        <f>COUNTIF(B21:AC21,"早")</f>
        <v>1</v>
      </c>
      <c r="AI21" s="13">
        <f>COUNTIF(B21:AC21,"遅")</f>
        <v>1</v>
      </c>
      <c r="AJ21" s="13">
        <f>COUNTIF(B21:AC21,"E")</f>
        <v>1</v>
      </c>
      <c r="AK21" s="13">
        <f>COUNTIF(B21:AC21,"8時")</f>
        <v>3</v>
      </c>
    </row>
    <row r="22" ht="41.25" customHeight="1">
      <c r="A22" s="5" t="inlineStr">
        <is>
          <t>スタッフ 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COUNTIF(B22:AC22,"〇")</f>
        <v>20</v>
      </c>
      <c r="AE22" s="8">
        <f>COUNTIF(B22:AC22,"休")</f>
        <v>8</v>
      </c>
      <c r="AF22" s="8">
        <f>COUNTIF(B22:AC22,"有")</f>
        <v>0</v>
      </c>
      <c r="AG22" s="8">
        <f>COUNTIF(B22:AC22,"リフ")</f>
        <v>0</v>
      </c>
      <c r="AH22" s="13">
        <f>COUNTIF(B22:AC22,"早")</f>
        <v>1</v>
      </c>
      <c r="AI22" s="13">
        <f>COUNTIF(B22:AC22,"遅")</f>
        <v>1</v>
      </c>
      <c r="AJ22" s="13">
        <f>COUNTIF(B22:AC22,"E")</f>
        <v>1</v>
      </c>
      <c r="AK22" s="13">
        <f>COUNTIF(B22:AC22,"8時")</f>
        <v>3</v>
      </c>
    </row>
    <row r="23" ht="41.25" customHeight="1">
      <c r="A23" s="5" t="inlineStr">
        <is>
          <t>スタッフ 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COUNTIF(B23:AC23,"〇")</f>
        <v>20</v>
      </c>
      <c r="AE23" s="8">
        <f>COUNTIF(B23:AC23,"休")</f>
        <v>8</v>
      </c>
      <c r="AF23" s="8">
        <f>COUNTIF(B23:AC23,"有")</f>
        <v>0</v>
      </c>
      <c r="AG23" s="8">
        <f>COUNTIF(B23:AC23,"リフ")</f>
        <v>0</v>
      </c>
      <c r="AH23" s="13">
        <f>COUNTIF(B23:AC23,"早")</f>
        <v>1</v>
      </c>
      <c r="AI23" s="13">
        <f>COUNTIF(B23:AC23,"遅")</f>
        <v>1</v>
      </c>
      <c r="AJ23" s="13">
        <f>COUNTIF(B23:AC23,"E")</f>
        <v>1</v>
      </c>
      <c r="AK23" s="13">
        <f>COUNTIF(B23:AC23,"8時")</f>
        <v>3</v>
      </c>
    </row>
    <row r="24" ht="41.25" customHeight="1">
      <c r="A24" s="5" t="inlineStr">
        <is>
          <t>スタッフ 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COUNTIF(B24:AC24,"〇")</f>
        <v>20</v>
      </c>
      <c r="AE24" s="8">
        <f>COUNTIF(B24:AC24,"休")</f>
        <v>8</v>
      </c>
      <c r="AF24" s="8">
        <f>COUNTIF(B24:AC24,"有")</f>
        <v>0</v>
      </c>
      <c r="AG24" s="8">
        <f>COUNTIF(B24:AC24,"リフ")</f>
        <v>0</v>
      </c>
      <c r="AH24" s="13">
        <f>COUNTIF(B24:AC24,"早")</f>
        <v>1</v>
      </c>
      <c r="AI24" s="13">
        <f>COUNTIF(B24:AC24,"遅")</f>
        <v>1</v>
      </c>
      <c r="AJ24" s="13">
        <f>COUNTIF(B24:AC24,"E")</f>
        <v>1</v>
      </c>
      <c r="AK24" s="13">
        <f>COUNTIF(B24:AC24,"8時")</f>
        <v>3</v>
      </c>
    </row>
    <row r="25" ht="41.25" customHeight="1">
      <c r="A25" s="5" t="inlineStr">
        <is>
          <t>スタッフ 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COUNTIF(B25:AC25,"〇")</f>
        <v>20</v>
      </c>
      <c r="AE25" s="8">
        <f>COUNTIF(B25:AC25,"休")</f>
        <v>8</v>
      </c>
      <c r="AF25" s="8">
        <f>COUNTIF(B25:AC25,"有")</f>
        <v>0</v>
      </c>
      <c r="AG25" s="8">
        <f>COUNTIF(B25:AC25,"リフ")</f>
        <v>0</v>
      </c>
      <c r="AH25" s="13">
        <f>COUNTIF(B25:AC25,"早")</f>
        <v>1</v>
      </c>
      <c r="AI25" s="13">
        <f>COUNTIF(B25:AC25,"遅")</f>
        <v>1</v>
      </c>
      <c r="AJ25" s="13">
        <f>COUNTIF(B25:AC25,"E")</f>
        <v>1</v>
      </c>
      <c r="AK25" s="13">
        <f>COUNTIF(B25:AC25,"8時")</f>
        <v>3</v>
      </c>
    </row>
    <row r="26" ht="41.25" customHeight="1">
      <c r="A26" s="5" t="inlineStr">
        <is>
          <t>スタッフ 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COUNTIF(B26:AC26,"〇")</f>
        <v>20</v>
      </c>
      <c r="AE26" s="8">
        <f>COUNTIF(B26:AC26,"休")</f>
        <v>8</v>
      </c>
      <c r="AF26" s="8">
        <f>COUNTIF(B26:AC26,"有")</f>
        <v>0</v>
      </c>
      <c r="AG26" s="8">
        <f>COUNTIF(B26:AC26,"リフ")</f>
        <v>0</v>
      </c>
      <c r="AH26" s="13">
        <f>COUNTIF(B26:AC26,"早")</f>
        <v>1</v>
      </c>
      <c r="AI26" s="13">
        <f>COUNTIF(B26:AC26,"遅")</f>
        <v>1</v>
      </c>
      <c r="AJ26" s="13">
        <f>COUNTIF(B26:AC26,"E")</f>
        <v>1</v>
      </c>
      <c r="AK26" s="13">
        <f>COUNTIF(B26:AC26,"8時")</f>
        <v>3</v>
      </c>
    </row>
    <row r="27" ht="41.25" customHeight="1">
      <c r="A27" s="5" t="inlineStr">
        <is>
          <t>スタッフ 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COUNTIF(B27:AC27,"〇")</f>
        <v>20</v>
      </c>
      <c r="AE27" s="8">
        <f>COUNTIF(B27:AC27,"休")</f>
        <v>8</v>
      </c>
      <c r="AF27" s="8">
        <f>COUNTIF(B27:AC27,"有")</f>
        <v>0</v>
      </c>
      <c r="AG27" s="8">
        <f>COUNTIF(B27:AC27,"リフ")</f>
        <v>0</v>
      </c>
      <c r="AH27" s="13">
        <f>COUNTIF(B27:AC27,"早")</f>
        <v>1</v>
      </c>
      <c r="AI27" s="13">
        <f>COUNTIF(B27:AC27,"遅")</f>
        <v>1</v>
      </c>
      <c r="AJ27" s="13">
        <f>COUNTIF(B27:AC27,"E")</f>
        <v>1</v>
      </c>
      <c r="AK27" s="13">
        <f>COUNTIF(B27:AC27,"8時")</f>
        <v>3</v>
      </c>
    </row>
    <row r="28" ht="41.25" customHeight="1">
      <c r="A28" s="5" t="inlineStr">
        <is>
          <t>スタッフ 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COUNTIF(B28:AC28,"〇")</f>
        <v>20</v>
      </c>
      <c r="AE28" s="8">
        <f>COUNTIF(B28:AC28,"休")</f>
        <v>8</v>
      </c>
      <c r="AF28" s="8">
        <f>COUNTIF(B28:AC28,"有")</f>
        <v>0</v>
      </c>
      <c r="AG28" s="8">
        <f>COUNTIF(B28:AC28,"リフ")</f>
        <v>0</v>
      </c>
      <c r="AH28" s="13">
        <f>COUNTIF(B28:AC28,"早")</f>
        <v>1</v>
      </c>
      <c r="AI28" s="13">
        <f>COUNTIF(B28:AC28,"遅")</f>
        <v>1</v>
      </c>
      <c r="AJ28" s="13">
        <f>COUNTIF(B28:AC28,"E")</f>
        <v>1</v>
      </c>
      <c r="AK28" s="13">
        <f>COUNTIF(B28:AC28,"8時")</f>
        <v>3</v>
      </c>
    </row>
    <row r="29" ht="41.25" customHeight="1">
      <c r="A29" s="5" t="inlineStr">
        <is>
          <t>スタッフ 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COUNTIF(B29:AC29,"〇")</f>
        <v>20</v>
      </c>
      <c r="AE29" s="8">
        <f>COUNTIF(B29:AC29,"休")</f>
        <v>8</v>
      </c>
      <c r="AF29" s="8">
        <f>COUNTIF(B29:AC29,"有")</f>
        <v>0</v>
      </c>
      <c r="AG29" s="8">
        <f>COUNTIF(B29:AC29,"リフ")</f>
        <v>0</v>
      </c>
      <c r="AH29" s="13">
        <f>COUNTIF(B29:AC29,"早")</f>
        <v>1</v>
      </c>
      <c r="AI29" s="13">
        <f>COUNTIF(B29:AC29,"遅")</f>
        <v>1</v>
      </c>
      <c r="AJ29" s="13">
        <f>COUNTIF(B29:AC29,"E")</f>
        <v>1</v>
      </c>
      <c r="AK29" s="13">
        <f>COUNTIF(B29:AC29,"8時")</f>
        <v>3</v>
      </c>
    </row>
    <row r="30" ht="41.25" customHeight="1">
      <c r="A30" s="5" t="inlineStr">
        <is>
          <t>スタッフ 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COUNTIF(B30:AC30,"〇")</f>
        <v>20</v>
      </c>
      <c r="AE30" s="8">
        <f>COUNTIF(B30:AC30,"休")</f>
        <v>8</v>
      </c>
      <c r="AF30" s="8">
        <f>COUNTIF(B30:AC30,"有")</f>
        <v>0</v>
      </c>
      <c r="AG30" s="8">
        <f>COUNTIF(B30:AC30,"リフ")</f>
        <v>0</v>
      </c>
      <c r="AH30" s="13">
        <f>COUNTIF(B30:AC30,"早")</f>
        <v>1</v>
      </c>
      <c r="AI30" s="13">
        <f>COUNTIF(B30:AC30,"遅")</f>
        <v>1</v>
      </c>
      <c r="AJ30" s="13">
        <f>COUNTIF(B30:AC30,"E")</f>
        <v>1</v>
      </c>
      <c r="AK30" s="13">
        <f>COUNTIF(B30:AC30,"8時")</f>
        <v>3</v>
      </c>
    </row>
    <row r="31" ht="41.25" customHeight="1">
      <c r="A31" s="5" t="inlineStr">
        <is>
          <t>スタッフ 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COUNTIF(B31:AC31,"〇")</f>
        <v>20</v>
      </c>
      <c r="AE31" s="8">
        <f>COUNTIF(B31:AC31,"休")</f>
        <v>8</v>
      </c>
      <c r="AF31" s="8">
        <f>COUNTIF(B31:AC31,"有")</f>
        <v>0</v>
      </c>
      <c r="AG31" s="8">
        <f>COUNTIF(B31:AC31,"リフ")</f>
        <v>0</v>
      </c>
      <c r="AH31" s="13">
        <f>COUNTIF(B31:AC31,"早")</f>
        <v>1</v>
      </c>
      <c r="AI31" s="13">
        <f>COUNTIF(B31:AC31,"遅")</f>
        <v>1</v>
      </c>
      <c r="AJ31" s="13">
        <f>COUNTIF(B31:AC31,"E")</f>
        <v>1</v>
      </c>
      <c r="AK31" s="13">
        <f>COUNTIF(B31:AC31,"8時")</f>
        <v>3</v>
      </c>
    </row>
    <row r="32" ht="41.25" customHeight="1">
      <c r="A32" s="5" t="inlineStr">
        <is>
          <t>スタッフ 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COUNTIF(B32:AC32,"〇")</f>
        <v>20</v>
      </c>
      <c r="AE32" s="8">
        <f>COUNTIF(B32:AC32,"休")</f>
        <v>8</v>
      </c>
      <c r="AF32" s="8">
        <f>COUNTIF(B32:AC32,"有")</f>
        <v>0</v>
      </c>
      <c r="AG32" s="8">
        <f>COUNTIF(B32:AC32,"リフ")</f>
        <v>0</v>
      </c>
      <c r="AH32" s="13">
        <f>COUNTIF(B32:AC32,"早")</f>
        <v>1</v>
      </c>
      <c r="AI32" s="13">
        <f>COUNTIF(B32:AC32,"遅")</f>
        <v>1</v>
      </c>
      <c r="AJ32" s="13">
        <f>COUNTIF(B32:AC32,"E")</f>
        <v>1</v>
      </c>
      <c r="AK32" s="13">
        <f>COUNTIF(B32:AC32,"8時")</f>
        <v>3</v>
      </c>
    </row>
    <row r="33" ht="41.25" customHeight="1">
      <c r="A33" s="5" t="inlineStr">
        <is>
          <t>スタッフ 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COUNTIF(B33:AC33,"〇")</f>
        <v>20</v>
      </c>
      <c r="AE33" s="8">
        <f>COUNTIF(B33:AC33,"休")</f>
        <v>8</v>
      </c>
      <c r="AF33" s="8">
        <f>COUNTIF(B33:AC33,"有")</f>
        <v>0</v>
      </c>
      <c r="AG33" s="8">
        <f>COUNTIF(B33:AC33,"リフ")</f>
        <v>0</v>
      </c>
      <c r="AH33" s="13">
        <f>COUNTIF(B33:AC33,"早")</f>
        <v>1</v>
      </c>
      <c r="AI33" s="13">
        <f>COUNTIF(B33:AC33,"遅")</f>
        <v>1</v>
      </c>
      <c r="AJ33" s="13">
        <f>COUNTIF(B33:AC33,"E")</f>
        <v>1</v>
      </c>
      <c r="AK33" s="13">
        <f>COUNTIF(B33:AC33,"8時")</f>
        <v>3</v>
      </c>
    </row>
    <row r="34" ht="41.25" customHeight="1">
      <c r="A34" s="5" t="inlineStr">
        <is>
          <t>スタッフ 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COUNTIF(B34:AC34,"〇")</f>
        <v>20</v>
      </c>
      <c r="AE34" s="8">
        <f>COUNTIF(B34:AC34,"休")</f>
        <v>8</v>
      </c>
      <c r="AF34" s="8">
        <f>COUNTIF(B34:AC34,"有")</f>
        <v>0</v>
      </c>
      <c r="AG34" s="8">
        <f>COUNTIF(B34:AC34,"リフ")</f>
        <v>0</v>
      </c>
      <c r="AH34" s="13">
        <f>COUNTIF(B34:AC34,"早")</f>
        <v>1</v>
      </c>
      <c r="AI34" s="13">
        <f>COUNTIF(B34:AC34,"遅")</f>
        <v>1</v>
      </c>
      <c r="AJ34" s="13">
        <f>COUNTIF(B34:AC34,"E")</f>
        <v>1</v>
      </c>
      <c r="AK34" s="13">
        <f>COUNTIF(B34:AC34,"8時")</f>
        <v>3</v>
      </c>
    </row>
    <row r="35" ht="41.25" customHeight="1">
      <c r="A35" s="5" t="inlineStr">
        <is>
          <t>スタッフ 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COUNTIF(B35:AC35,"〇")</f>
        <v>20</v>
      </c>
      <c r="AE35" s="8">
        <f>COUNTIF(B35:AC35,"休")</f>
        <v>8</v>
      </c>
      <c r="AF35" s="8">
        <f>COUNTIF(B35:AC35,"有")</f>
        <v>0</v>
      </c>
      <c r="AG35" s="8">
        <f>COUNTIF(B35:AC35,"リフ")</f>
        <v>0</v>
      </c>
      <c r="AH35" s="13">
        <f>COUNTIF(B35:AC35,"早")</f>
        <v>1</v>
      </c>
      <c r="AI35" s="13">
        <f>COUNTIF(B35:AC35,"遅")</f>
        <v>1</v>
      </c>
      <c r="AJ35" s="13">
        <f>COUNTIF(B35:AC35,"E")</f>
        <v>1</v>
      </c>
      <c r="AK35" s="13">
        <f>COUNTIF(B35:AC35,"8時")</f>
        <v>3</v>
      </c>
    </row>
    <row r="36" ht="41.25" customHeight="1">
      <c r="A36" s="5" t="inlineStr">
        <is>
          <t>スタッフ 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COUNTIF(B36:AC36,"〇")</f>
        <v>20</v>
      </c>
      <c r="AE36" s="8">
        <f>COUNTIF(B36:AC36,"休")</f>
        <v>8</v>
      </c>
      <c r="AF36" s="8">
        <f>COUNTIF(B36:AC36,"有")</f>
        <v>0</v>
      </c>
      <c r="AG36" s="8">
        <f>COUNTIF(B36:AC36,"リフ")</f>
        <v>0</v>
      </c>
      <c r="AH36" s="13">
        <f>COUNTIF(B36:AC36,"早")</f>
        <v>1</v>
      </c>
      <c r="AI36" s="13">
        <f>COUNTIF(B36:AC36,"遅")</f>
        <v>1</v>
      </c>
      <c r="AJ36" s="13">
        <f>COUNTIF(B36:AC36,"E")</f>
        <v>1</v>
      </c>
      <c r="AK36" s="13">
        <f>COUNTIF(B36:AC36,"8時")</f>
        <v>3</v>
      </c>
    </row>
    <row r="37" ht="41.25" customHeight="1">
      <c r="A37" s="5" t="inlineStr">
        <is>
          <t>スタッフ 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COUNTIF(B37:AC37,"〇")</f>
        <v>20</v>
      </c>
      <c r="AE37" s="8">
        <f>COUNTIF(B37:AC37,"休")</f>
        <v>8</v>
      </c>
      <c r="AF37" s="8">
        <f>COUNTIF(B37:AC37,"有")</f>
        <v>0</v>
      </c>
      <c r="AG37" s="8">
        <f>COUNTIF(B37:AC37,"リフ")</f>
        <v>0</v>
      </c>
      <c r="AH37" s="13">
        <f>COUNTIF(B37:AC37,"早")</f>
        <v>1</v>
      </c>
      <c r="AI37" s="13">
        <f>COUNTIF(B37:AC37,"遅")</f>
        <v>1</v>
      </c>
      <c r="AJ37" s="13">
        <f>COUNTIF(B37:AC37,"E")</f>
        <v>1</v>
      </c>
      <c r="AK37" s="13">
        <f>COUNTIF(B37:AC37,"8時")</f>
        <v>3</v>
      </c>
    </row>
    <row r="38" ht="41.25" customHeight="1">
      <c r="A38" s="5" t="inlineStr">
        <is>
          <t>スタッフ 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COUNTIF(B38:AC38,"〇")</f>
        <v>20</v>
      </c>
      <c r="AE38" s="8">
        <f>COUNTIF(B38:AC38,"休")</f>
        <v>8</v>
      </c>
      <c r="AF38" s="8">
        <f>COUNTIF(B38:AC38,"有")</f>
        <v>0</v>
      </c>
      <c r="AG38" s="8">
        <f>COUNTIF(B38:AC38,"リフ")</f>
        <v>0</v>
      </c>
      <c r="AH38" s="13">
        <f>COUNTIF(B38:AC38,"早")</f>
        <v>1</v>
      </c>
      <c r="AI38" s="13">
        <f>COUNTIF(B38:AC38,"遅")</f>
        <v>1</v>
      </c>
      <c r="AJ38" s="13">
        <f>COUNTIF(B38:AC38,"E")</f>
        <v>1</v>
      </c>
      <c r="AK38" s="13">
        <f>COUNTIF(B38:AC38,"8時")</f>
        <v>3</v>
      </c>
    </row>
    <row r="39" ht="41.25" customHeight="1">
      <c r="A39" s="5" t="inlineStr">
        <is>
          <t>スタッフ 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COUNTIF(B39:AC39,"〇")</f>
        <v>20</v>
      </c>
      <c r="AE39" s="8">
        <f>COUNTIF(B39:AC39,"休")</f>
        <v>8</v>
      </c>
      <c r="AF39" s="8">
        <f>COUNTIF(B39:AC39,"有")</f>
        <v>0</v>
      </c>
      <c r="AG39" s="8">
        <f>COUNTIF(B39:AC39,"リフ")</f>
        <v>0</v>
      </c>
      <c r="AH39" s="13">
        <f>COUNTIF(B39:AC39,"早")</f>
        <v>1</v>
      </c>
      <c r="AI39" s="13">
        <f>COUNTIF(B39:AC39,"遅")</f>
        <v>1</v>
      </c>
      <c r="AJ39" s="13">
        <f>COUNTIF(B39:AC39,"E")</f>
        <v>1</v>
      </c>
      <c r="AK39" s="13">
        <f>COUNTIF(B39:AC39,"8時")</f>
        <v>3</v>
      </c>
    </row>
    <row r="40" ht="41.25" customHeight="1">
      <c r="A40" s="5" t="inlineStr">
        <is>
          <t>スタッフ 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COUNTIF(B40:AC40,"〇")</f>
        <v>20</v>
      </c>
      <c r="AE40" s="8">
        <f>COUNTIF(B40:AC40,"休")</f>
        <v>8</v>
      </c>
      <c r="AF40" s="8">
        <f>COUNTIF(B40:AC40,"有")</f>
        <v>0</v>
      </c>
      <c r="AG40" s="8">
        <f>COUNTIF(B40:AC40,"リフ")</f>
        <v>0</v>
      </c>
      <c r="AH40" s="13">
        <f>COUNTIF(B40:AC40,"早")</f>
        <v>1</v>
      </c>
      <c r="AI40" s="13">
        <f>COUNTIF(B40:AC40,"遅")</f>
        <v>1</v>
      </c>
      <c r="AJ40" s="13">
        <f>COUNTIF(B40:AC40,"E")</f>
        <v>1</v>
      </c>
      <c r="AK40" s="13">
        <f>COUNTIF(B40:AC40,"8時")</f>
        <v>3</v>
      </c>
    </row>
    <row r="41" ht="41.25" customHeight="1">
      <c r="A41" s="5" t="inlineStr">
        <is>
          <t>スタッフ 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COUNTIF(B41:AC41,"〇")</f>
        <v>20</v>
      </c>
      <c r="AE41" s="8">
        <f>COUNTIF(B41:AC41,"休")</f>
        <v>8</v>
      </c>
      <c r="AF41" s="8">
        <f>COUNTIF(B41:AC41,"有")</f>
        <v>0</v>
      </c>
      <c r="AG41" s="8">
        <f>COUNTIF(B41:AC41,"リフ")</f>
        <v>0</v>
      </c>
      <c r="AH41" s="13">
        <f>COUNTIF(B41:AC41,"早")</f>
        <v>1</v>
      </c>
      <c r="AI41" s="13">
        <f>COUNTIF(B41:AC41,"遅")</f>
        <v>1</v>
      </c>
      <c r="AJ41" s="13">
        <f>COUNTIF(B41:AC41,"E")</f>
        <v>1</v>
      </c>
      <c r="AK41" s="13">
        <f>COUNTIF(B41:AC41,"8時")</f>
        <v>3</v>
      </c>
    </row>
    <row r="42" ht="41.25" customHeight="1">
      <c r="A42" s="5" t="inlineStr">
        <is>
          <t>スタッフ 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COUNTIF(B42:AC42,"〇")</f>
        <v>20</v>
      </c>
      <c r="AE42" s="8">
        <f>COUNTIF(B42:AC42,"休")</f>
        <v>8</v>
      </c>
      <c r="AF42" s="8">
        <f>COUNTIF(B42:AC42,"有")</f>
        <v>0</v>
      </c>
      <c r="AG42" s="8">
        <f>COUNTIF(B42:AC42,"リフ")</f>
        <v>0</v>
      </c>
      <c r="AH42" s="13">
        <f>COUNTIF(B42:AC42,"早")</f>
        <v>1</v>
      </c>
      <c r="AI42" s="13">
        <f>COUNTIF(B42:AC42,"遅")</f>
        <v>1</v>
      </c>
      <c r="AJ42" s="13">
        <f>COUNTIF(B42:AC42,"E")</f>
        <v>1</v>
      </c>
      <c r="AK42" s="13">
        <f>COUNTIF(B42:AC42,"8時")</f>
        <v>3</v>
      </c>
    </row>
    <row r="43" ht="41.25" customHeight="1">
      <c r="A43" s="5" t="inlineStr">
        <is>
          <t>スタッフ 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COUNTIF(B43:AC43,"〇")</f>
        <v>20</v>
      </c>
      <c r="AE43" s="8">
        <f>COUNTIF(B43:AC43,"休")</f>
        <v>8</v>
      </c>
      <c r="AF43" s="8">
        <f>COUNTIF(B43:AC43,"有")</f>
        <v>0</v>
      </c>
      <c r="AG43" s="8">
        <f>COUNTIF(B43:AC43,"リフ")</f>
        <v>0</v>
      </c>
      <c r="AH43" s="13">
        <f>COUNTIF(B43:AC43,"早")</f>
        <v>1</v>
      </c>
      <c r="AI43" s="13">
        <f>COUNTIF(B43:AC43,"遅")</f>
        <v>1</v>
      </c>
      <c r="AJ43" s="13">
        <f>COUNTIF(B43:AC43,"E")</f>
        <v>1</v>
      </c>
      <c r="AK43" s="13">
        <f>COUNTIF(B43:AC43,"8時")</f>
        <v>3</v>
      </c>
    </row>
    <row r="44" ht="41.25" customHeight="1">
      <c r="A44" s="5" t="inlineStr">
        <is>
          <t>スタッフ 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COUNTIF(B44:AC44,"〇")</f>
        <v>20</v>
      </c>
      <c r="AE44" s="8">
        <f>COUNTIF(B44:AC44,"休")</f>
        <v>8</v>
      </c>
      <c r="AF44" s="8">
        <f>COUNTIF(B44:AC44,"有")</f>
        <v>0</v>
      </c>
      <c r="AG44" s="8">
        <f>COUNTIF(B44:AC44,"リフ")</f>
        <v>0</v>
      </c>
      <c r="AH44" s="13">
        <f>COUNTIF(B44:AC44,"早")</f>
        <v>1</v>
      </c>
      <c r="AI44" s="13">
        <f>COUNTIF(B44:AC44,"遅")</f>
        <v>1</v>
      </c>
      <c r="AJ44" s="13">
        <f>COUNTIF(B44:AC44,"E")</f>
        <v>1</v>
      </c>
      <c r="AK44" s="13">
        <f>COUNTIF(B44:AC44,"8時")</f>
        <v>3</v>
      </c>
    </row>
    <row r="45" ht="41.25" customHeight="1">
      <c r="A45" s="5" t="inlineStr">
        <is>
          <t>スタッフ 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COUNTIF(B45:AC45,"〇")</f>
        <v>20</v>
      </c>
      <c r="AE45" s="8">
        <f>COUNTIF(B45:AC45,"休")</f>
        <v>8</v>
      </c>
      <c r="AF45" s="8">
        <f>COUNTIF(B45:AC45,"有")</f>
        <v>0</v>
      </c>
      <c r="AG45" s="8">
        <f>COUNTIF(B45:AC45,"リフ")</f>
        <v>0</v>
      </c>
      <c r="AH45" s="13">
        <f>COUNTIF(B45:AC45,"早")</f>
        <v>1</v>
      </c>
      <c r="AI45" s="13">
        <f>COUNTIF(B45:AC45,"遅")</f>
        <v>1</v>
      </c>
      <c r="AJ45" s="13">
        <f>COUNTIF(B45:AC45,"E")</f>
        <v>1</v>
      </c>
      <c r="AK45" s="13">
        <f>COUNTIF(B45:AC45,"8時")</f>
        <v>3</v>
      </c>
    </row>
    <row r="46" ht="41.25" customHeight="1">
      <c r="A46" s="5" t="inlineStr">
        <is>
          <t>スタッフ 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COUNTIF(B46:AC46,"〇")</f>
        <v>20</v>
      </c>
      <c r="AE46" s="8">
        <f>COUNTIF(B46:AC46,"休")</f>
        <v>8</v>
      </c>
      <c r="AF46" s="8">
        <f>COUNTIF(B46:AC46,"有")</f>
        <v>0</v>
      </c>
      <c r="AG46" s="8">
        <f>COUNTIF(B46:AC46,"リフ")</f>
        <v>0</v>
      </c>
      <c r="AH46" s="13">
        <f>COUNTIF(B46:AC46,"早")</f>
        <v>1</v>
      </c>
      <c r="AI46" s="13">
        <f>COUNTIF(B46:AC46,"遅")</f>
        <v>1</v>
      </c>
      <c r="AJ46" s="13">
        <f>COUNTIF(B46:AC46,"E")</f>
        <v>1</v>
      </c>
      <c r="AK46" s="13">
        <f>COUNTIF(B46:AC46,"8時")</f>
        <v>3</v>
      </c>
    </row>
    <row r="47" ht="41.25" customHeight="1">
      <c r="A47" s="5" t="inlineStr">
        <is>
          <t>スタッフ 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COUNTIF(B47:AC47,"〇")</f>
        <v>20</v>
      </c>
      <c r="AE47" s="8">
        <f>COUNTIF(B47:AC47,"休")</f>
        <v>8</v>
      </c>
      <c r="AF47" s="8">
        <f>COUNTIF(B47:AC47,"有")</f>
        <v>0</v>
      </c>
      <c r="AG47" s="8">
        <f>COUNTIF(B47:AC47,"リフ")</f>
        <v>0</v>
      </c>
      <c r="AH47" s="13">
        <f>COUNTIF(B47:AC47,"早")</f>
        <v>1</v>
      </c>
      <c r="AI47" s="13">
        <f>COUNTIF(B47:AC47,"遅")</f>
        <v>1</v>
      </c>
      <c r="AJ47" s="13">
        <f>COUNTIF(B47:AC47,"E")</f>
        <v>1</v>
      </c>
      <c r="AK47" s="13">
        <f>COUNTIF(B47:AC47,"8時")</f>
        <v>3</v>
      </c>
    </row>
    <row r="48" ht="41.25" customHeight="1">
      <c r="A48" s="5" t="inlineStr">
        <is>
          <t>スタッフ 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COUNTIF(B48:AC48,"〇")</f>
        <v>20</v>
      </c>
      <c r="AE48" s="8">
        <f>COUNTIF(B48:AC48,"休")</f>
        <v>8</v>
      </c>
      <c r="AF48" s="8">
        <f>COUNTIF(B48:AC48,"有")</f>
        <v>0</v>
      </c>
      <c r="AG48" s="8">
        <f>COUNTIF(B48:AC48,"リフ")</f>
        <v>0</v>
      </c>
      <c r="AH48" s="13">
        <f>COUNTIF(B48:AC48,"早")</f>
        <v>1</v>
      </c>
      <c r="AI48" s="13">
        <f>COUNTIF(B48:AC48,"遅")</f>
        <v>1</v>
      </c>
      <c r="AJ48" s="13">
        <f>COUNTIF(B48:AC48,"E")</f>
        <v>1</v>
      </c>
      <c r="AK48" s="13">
        <f>COUNTIF(B48:AC48,"8時")</f>
        <v>3</v>
      </c>
    </row>
    <row r="49" ht="41.25" customHeight="1">
      <c r="A49" s="5" t="inlineStr">
        <is>
          <t>スタッフ 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COUNTIF(B49:AC49,"〇")</f>
        <v>20</v>
      </c>
      <c r="AE49" s="8">
        <f>COUNTIF(B49:AC49,"休")</f>
        <v>8</v>
      </c>
      <c r="AF49" s="8">
        <f>COUNTIF(B49:AC49,"有")</f>
        <v>0</v>
      </c>
      <c r="AG49" s="8">
        <f>COUNTIF(B49:AC49,"リフ")</f>
        <v>0</v>
      </c>
      <c r="AH49" s="13">
        <f>COUNTIF(B49:AC49,"早")</f>
        <v>1</v>
      </c>
      <c r="AI49" s="13">
        <f>COUNTIF(B49:AC49,"遅")</f>
        <v>1</v>
      </c>
      <c r="AJ49" s="13">
        <f>COUNTIF(B49:AC49,"E")</f>
        <v>1</v>
      </c>
      <c r="AK49" s="13">
        <f>COUNTIF(B49:AC49,"8時")</f>
        <v>3</v>
      </c>
    </row>
    <row r="50" ht="41.25" customHeight="1">
      <c r="A50" s="5" t="inlineStr">
        <is>
          <t>スタッフ 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COUNTIF(B50:AC50,"〇")</f>
        <v>20</v>
      </c>
      <c r="AE50" s="8">
        <f>COUNTIF(B50:AC50,"休")</f>
        <v>8</v>
      </c>
      <c r="AF50" s="8">
        <f>COUNTIF(B50:AC50,"有")</f>
        <v>0</v>
      </c>
      <c r="AG50" s="8">
        <f>COUNTIF(B50:AC50,"リフ")</f>
        <v>0</v>
      </c>
      <c r="AH50" s="13">
        <f>COUNTIF(B50:AC50,"早")</f>
        <v>1</v>
      </c>
      <c r="AI50" s="13">
        <f>COUNTIF(B50:AC50,"遅")</f>
        <v>1</v>
      </c>
      <c r="AJ50" s="13">
        <f>COUNTIF(B50:AC50,"E")</f>
        <v>1</v>
      </c>
      <c r="AK50" s="13">
        <f>COUNTIF(B50:AC50,"8時")</f>
        <v>3</v>
      </c>
    </row>
    <row r="51" ht="41.25" customHeight="1">
      <c r="A51" s="5" t="inlineStr">
        <is>
          <t>スタッフ 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COUNTIF(B51:AC51,"〇")</f>
        <v>20</v>
      </c>
      <c r="AE51" s="8">
        <f>COUNTIF(B51:AC51,"休")</f>
        <v>8</v>
      </c>
      <c r="AF51" s="8">
        <f>COUNTIF(B51:AC51,"有")</f>
        <v>0</v>
      </c>
      <c r="AG51" s="8">
        <f>COUNTIF(B51:AC51,"リフ")</f>
        <v>0</v>
      </c>
      <c r="AH51" s="13">
        <f>COUNTIF(B51:AC51,"早")</f>
        <v>1</v>
      </c>
      <c r="AI51" s="13">
        <f>COUNTIF(B51:AC51,"遅")</f>
        <v>1</v>
      </c>
      <c r="AJ51" s="13">
        <f>COUNTIF(B51:AC51,"E")</f>
        <v>1</v>
      </c>
      <c r="AK51" s="13">
        <f>COUNTIF(B51:AC51,"8時")</f>
        <v>3</v>
      </c>
    </row>
    <row r="52" ht="33.75" customHeight="1">
      <c r="A52" s="9" t="inlineStr">
        <is>
          <t>出勤人数合計</t>
        </is>
      </c>
      <c r="B52" s="9">
        <f>SUM(B$4:B$51)</f>
        <v>35</v>
      </c>
      <c r="C52" s="9">
        <f>SUM(C$4:C$51)</f>
        <v>35</v>
      </c>
      <c r="D52" s="9">
        <f>SUM(D$4:D$51)</f>
        <v>35</v>
      </c>
      <c r="E52" s="9">
        <f>SUM(E$4:E$51)</f>
        <v>35</v>
      </c>
      <c r="F52" s="9">
        <f>SUM(F$4:F$51)</f>
        <v>35</v>
      </c>
      <c r="G52" s="9">
        <f>SUM(G$4:G$51)</f>
        <v>35</v>
      </c>
      <c r="H52" s="9">
        <f>SUM(H$4:H$51)</f>
        <v>35</v>
      </c>
      <c r="I52" s="9">
        <f>SUM(I$4:I$51)</f>
        <v>35</v>
      </c>
      <c r="J52" s="9">
        <f>SUM(J$4:J$51)</f>
        <v>35</v>
      </c>
      <c r="K52" s="9">
        <f>SUM(K$4:K$51)</f>
        <v>35</v>
      </c>
      <c r="L52" s="9">
        <f>SUM(L$4:L$51)</f>
        <v>35</v>
      </c>
      <c r="M52" s="9">
        <f>SUM(M$4:M$51)</f>
        <v>35</v>
      </c>
      <c r="N52" s="9">
        <f>SUM(N$4:N$51)</f>
        <v>35</v>
      </c>
      <c r="O52" s="9">
        <f>SUM(O$4:O$51)</f>
        <v>35</v>
      </c>
      <c r="P52" s="9">
        <f>SUM(P$4:P$51)</f>
        <v>35</v>
      </c>
      <c r="Q52" s="9">
        <f>SUM(Q$4:Q$51)</f>
        <v>35</v>
      </c>
      <c r="R52" s="9">
        <f>SUM(R$4:R$51)</f>
        <v>35</v>
      </c>
      <c r="S52" s="9">
        <f>SUM(S$4:S$51)</f>
        <v>35</v>
      </c>
      <c r="T52" s="9">
        <f>SUM(T$4:T$51)</f>
        <v>35</v>
      </c>
      <c r="U52" s="9">
        <f>SUM(U$4:U$51)</f>
        <v>35</v>
      </c>
      <c r="V52" s="9">
        <f>SUM(V$4:V$51)</f>
        <v>35</v>
      </c>
      <c r="W52" s="9">
        <f>SUM(W$4:W$51)</f>
        <v>35</v>
      </c>
      <c r="X52" s="9">
        <f>SUM(X$4:X$51)</f>
        <v>35</v>
      </c>
      <c r="Y52" s="9">
        <f>SUM(Y$4:Y$51)</f>
        <v>35</v>
      </c>
      <c r="Z52" s="9">
        <f>SUM(Z$4:Z$51)</f>
        <v>35</v>
      </c>
      <c r="AA52" s="9">
        <f>SUM(AA$4:AA$51)</f>
        <v>35</v>
      </c>
      <c r="AB52" s="9">
        <f>SUM(AB$4:AB$51)</f>
        <v>35</v>
      </c>
      <c r="AC52" s="9">
        <f>SUM(AC$4:AC$51)</f>
        <v>35</v>
      </c>
      <c r="AD52" s="9">
        <f>SUM(AD$4:AD$51)</f>
        <v>960</v>
      </c>
      <c r="AE52" s="9">
        <f>SUM(AE$4:AE$51)</f>
        <v>384</v>
      </c>
      <c r="AF52" s="9">
        <f>SUM(AF$4:AF$51)</f>
        <v>0</v>
      </c>
      <c r="AG52" s="9">
        <f>SUM(AG$4:AG$51)</f>
        <v>0</v>
      </c>
      <c r="AH52" s="13">
        <f>SUM(AH$4:AH$51)</f>
        <v>48</v>
      </c>
      <c r="AI52" s="13">
        <f>SUM(AI$4:AI$51)</f>
        <v>48</v>
      </c>
      <c r="AJ52" s="13">
        <f>SUM(AJ$4:AJ$51)</f>
        <v>48</v>
      </c>
      <c r="AK52" s="13">
        <f>SUM(AK$4:AK$51)</f>
        <v>144</v>
      </c>
    </row>
  </sheetData>
  <mergeCells count="2">
    <mergeCell ref="A1:AC1"/>
    <mergeCell ref="AD1:AK1"/>
  </mergeCells>
  <pageMargins left="0.25" right="0.25" top="0.3" bottom="0.3" header="0.2" footer="0.2"/>
  <pageSetup paperSize="8" orientation="landscape" fitToWidth="1" fitToHeight="1"/>
</worksheet>
</file>