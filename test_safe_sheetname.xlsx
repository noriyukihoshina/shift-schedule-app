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4月1日～4月28日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!-- A: 氏名 (約115px、A3縦横比最適化) -->
    <col min="2" max="29" width="4.0" customWidth="1"/>
    <!-- B〜AC: 28日分 (33ピクセル固定) -->
    <col min="30" max="33" width="7" customWidth="1"/>
    <!-- AD〜AG: 出勤, 公休, 有休, リフ (黒字) -->
    <col min="34" max="37" width="4.0" customWidth="1"/>
    <!-- AH〜AK: 早, 遅, E, 8時 (33ピクセル固定) -->
  </cols>
  <sheetData>
    <!-- 1行目: タイトル -->
    <row r="1" ht="24" customHeight="1">
      <c r="A1" s="1" t="inlineStr">
        <is>
          <t>2026年4月勤務表</t>
        </is>
      </c>
    </row>
    <!-- 2行目: 日付ヘッダー行 -->
    <row r="2" ht="20" customHeight="1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  <c r="AD2" s="2" t="inlineStr">
        <is>
          <t>出勤</t>
        </is>
      </c>
      <c r="AE2" s="2" t="inlineStr">
        <is>
          <t>公休</t>
        </is>
      </c>
      <c r="AF2" s="2" t="inlineStr">
        <is>
          <t>有休</t>
        </is>
      </c>
      <c r="AG2" s="2" t="inlineStr">
        <is>
          <t>リフ</t>
        </is>
      </c>
      <c r="AH2" s="2" t="inlineStr">
        <is>
          <t>早</t>
        </is>
      </c>
      <c r="AI2" s="2" t="inlineStr">
        <is>
          <t>遅</t>
        </is>
      </c>
      <c r="AJ2" s="2" t="inlineStr">
        <is>
          <t>E</t>
        </is>
      </c>
      <c r="AK2" s="2" t="inlineStr">
        <is>
          <t>8時</t>
        </is>
      </c>
    </row>
    <row r="3" ht="18" customHeight="1">
      <c r="A3" s="2"/>
      <c r="B3" s="2" t="inlineStr">
        <is>
          <t>水</t>
        </is>
      </c>
      <c r="C3" s="2" t="inlineStr">
        <is>
          <t>木</t>
        </is>
      </c>
      <c r="D3" s="3" t="inlineStr">
        <is>
          <t>金</t>
        </is>
      </c>
      <c r="E3" s="4" t="inlineStr">
        <is>
          <t>土</t>
        </is>
      </c>
      <c r="F3" s="4" t="inlineStr">
        <is>
          <t>日</t>
        </is>
      </c>
      <c r="G3" s="2" t="inlineStr">
        <is>
          <t>月</t>
        </is>
      </c>
      <c r="H3" s="2" t="inlineStr">
        <is>
          <t>火</t>
        </is>
      </c>
      <c r="I3" s="2" t="inlineStr">
        <is>
          <t>水</t>
        </is>
      </c>
      <c r="J3" s="2" t="inlineStr">
        <is>
          <t>木</t>
        </is>
      </c>
      <c r="K3" s="3" t="inlineStr">
        <is>
          <t>金</t>
        </is>
      </c>
      <c r="L3" s="4" t="inlineStr">
        <is>
          <t>土</t>
        </is>
      </c>
      <c r="M3" s="4" t="inlineStr">
        <is>
          <t>日</t>
        </is>
      </c>
      <c r="N3" s="2" t="inlineStr">
        <is>
          <t>月</t>
        </is>
      </c>
      <c r="O3" s="2" t="inlineStr">
        <is>
          <t>火</t>
        </is>
      </c>
      <c r="P3" s="2" t="inlineStr">
        <is>
          <t>水</t>
        </is>
      </c>
      <c r="Q3" s="2" t="inlineStr">
        <is>
          <t>木</t>
        </is>
      </c>
      <c r="R3" s="3" t="inlineStr">
        <is>
          <t>金</t>
        </is>
      </c>
      <c r="S3" s="4" t="inlineStr">
        <is>
          <t>土</t>
        </is>
      </c>
      <c r="T3" s="4" t="inlineStr">
        <is>
          <t>日</t>
        </is>
      </c>
      <c r="U3" s="2" t="inlineStr">
        <is>
          <t>月</t>
        </is>
      </c>
      <c r="V3" s="2" t="inlineStr">
        <is>
          <t>火</t>
        </is>
      </c>
      <c r="W3" s="2" t="inlineStr">
        <is>
          <t>水</t>
        </is>
      </c>
      <c r="X3" s="2" t="inlineStr">
        <is>
          <t>木</t>
        </is>
      </c>
      <c r="Y3" s="3" t="inlineStr">
        <is>
          <t>金</t>
        </is>
      </c>
      <c r="Z3" s="4" t="inlineStr">
        <is>
          <t>土</t>
        </is>
      </c>
      <c r="AA3" s="4" t="inlineStr">
        <is>
          <t>日</t>
        </is>
      </c>
      <c r="AB3" s="2" t="inlineStr">
        <is>
          <t>月</t>
        </is>
      </c>
      <c r="AC3" s="2" t="inlineStr">
        <is>
          <t>火</t>
        </is>
      </c>
      <c r="AD3" s="2"/>
      <c r="AE3" s="2"/>
      <c r="AF3" s="2"/>
      <c r="AG3" s="2"/>
      <c r="AH3" s="2"/>
      <c r="AI3" s="2"/>
      <c r="AJ3" s="2"/>
      <c r="AK3" s="2"/>
    </row>
    <row r="4" ht="20" customHeight="1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  <c r="AI4" s="13">
        <f>COUNTIF(B4:AC4,"遅")+COUNTIF(B4:AC4,"オソ")</f>
        <v>0</v>
      </c>
      <c r="AJ4" s="13">
        <f>COUNTIF(B4:AC4,"E")+COUNTIF(B4:AC4,"イブ")</f>
        <v>0</v>
      </c>
      <c r="AK4" s="13">
        <f>COUNTIF(B4:AC4,"8時")</f>
        <v>0</v>
      </c>
    </row>
    <row r="5" ht="20" customHeight="1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  <c r="AI5" s="13">
        <f>COUNTIF(B5:AC5,"遅")+COUNTIF(B5:AC5,"オソ")</f>
        <v>0</v>
      </c>
      <c r="AJ5" s="13">
        <f>COUNTIF(B5:AC5,"E")+COUNTIF(B5:AC5,"イブ")</f>
        <v>0</v>
      </c>
      <c r="AK5" s="13">
        <f>COUNTIF(B5:AC5,"8時")</f>
        <v>0</v>
      </c>
    </row>
    <row r="6" ht="20" customHeight="1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  <c r="AI6" s="13">
        <f>COUNTIF(B6:AC6,"遅")+COUNTIF(B6:AC6,"オソ")</f>
        <v>0</v>
      </c>
      <c r="AJ6" s="13">
        <f>COUNTIF(B6:AC6,"E")+COUNTIF(B6:AC6,"イブ")</f>
        <v>0</v>
      </c>
      <c r="AK6" s="13">
        <f>COUNTIF(B6:AC6,"8時")</f>
        <v>0</v>
      </c>
    </row>
    <row r="7" ht="20" customHeight="1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  <c r="AI7" s="13">
        <f>COUNTIF(B7:AC7,"遅")+COUNTIF(B7:AC7,"オソ")</f>
        <v>0</v>
      </c>
      <c r="AJ7" s="13">
        <f>COUNTIF(B7:AC7,"E")+COUNTIF(B7:AC7,"イブ")</f>
        <v>0</v>
      </c>
      <c r="AK7" s="13">
        <f>COUNTIF(B7:AC7,"8時")</f>
        <v>0</v>
      </c>
    </row>
    <row r="8" ht="20" customHeight="1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  <c r="AI8" s="13">
        <f>COUNTIF(B8:AC8,"遅")+COUNTIF(B8:AC8,"オソ")</f>
        <v>0</v>
      </c>
      <c r="AJ8" s="13">
        <f>COUNTIF(B8:AC8,"E")+COUNTIF(B8:AC8,"イブ")</f>
        <v>0</v>
      </c>
      <c r="AK8" s="13">
        <f>COUNTIF(B8:AC8,"8時")</f>
        <v>0</v>
      </c>
    </row>
    <row r="9" ht="20" customHeight="1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  <c r="AI9" s="13">
        <f>COUNTIF(B9:AC9,"遅")+COUNTIF(B9:AC9,"オソ")</f>
        <v>0</v>
      </c>
      <c r="AJ9" s="13">
        <f>COUNTIF(B9:AC9,"E")+COUNTIF(B9:AC9,"イブ")</f>
        <v>0</v>
      </c>
      <c r="AK9" s="13">
        <f>COUNTIF(B9:AC9,"8時")</f>
        <v>0</v>
      </c>
    </row>
    <row r="10" ht="20" customHeight="1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  <c r="AI10" s="13">
        <f>COUNTIF(B10:AC10,"遅")+COUNTIF(B10:AC10,"オソ")</f>
        <v>0</v>
      </c>
      <c r="AJ10" s="13">
        <f>COUNTIF(B10:AC10,"E")+COUNTIF(B10:AC10,"イブ")</f>
        <v>0</v>
      </c>
      <c r="AK10" s="13">
        <f>COUNTIF(B10:AC10,"8時")</f>
        <v>0</v>
      </c>
    </row>
    <row r="11" ht="20" customHeight="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  <c r="AI11" s="13">
        <f>COUNTIF(B11:AC11,"遅")+COUNTIF(B11:AC11,"オソ")</f>
        <v>0</v>
      </c>
      <c r="AJ11" s="13">
        <f>COUNTIF(B11:AC11,"E")+COUNTIF(B11:AC11,"イブ")</f>
        <v>0</v>
      </c>
      <c r="AK11" s="13">
        <f>COUNTIF(B11:AC11,"8時")</f>
        <v>0</v>
      </c>
    </row>
    <row r="12" ht="20" customHeight="1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  <c r="AI12" s="13">
        <f>COUNTIF(B12:AC12,"遅")+COUNTIF(B12:AC12,"オソ")</f>
        <v>0</v>
      </c>
      <c r="AJ12" s="13">
        <f>COUNTIF(B12:AC12,"E")+COUNTIF(B12:AC12,"イブ")</f>
        <v>0</v>
      </c>
      <c r="AK12" s="13">
        <f>COUNTIF(B12:AC12,"8時")</f>
        <v>0</v>
      </c>
    </row>
    <row r="13" ht="20" customHeight="1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  <c r="AI13" s="13">
        <f>COUNTIF(B13:AC13,"遅")+COUNTIF(B13:AC13,"オソ")</f>
        <v>0</v>
      </c>
      <c r="AJ13" s="13">
        <f>COUNTIF(B13:AC13,"E")+COUNTIF(B13:AC13,"イブ")</f>
        <v>0</v>
      </c>
      <c r="AK13" s="13">
        <f>COUNTIF(B13:AC13,"8時")</f>
        <v>0</v>
      </c>
    </row>
    <row r="14" ht="20" customHeight="1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  <c r="AI14" s="13">
        <f>COUNTIF(B14:AC14,"遅")+COUNTIF(B14:AC14,"オソ")</f>
        <v>0</v>
      </c>
      <c r="AJ14" s="13">
        <f>COUNTIF(B14:AC14,"E")+COUNTIF(B14:AC14,"イブ")</f>
        <v>0</v>
      </c>
      <c r="AK14" s="13">
        <f>COUNTIF(B14:AC14,"8時")</f>
        <v>0</v>
      </c>
    </row>
    <row r="15" ht="20" customHeight="1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  <c r="AI15" s="13">
        <f>COUNTIF(B15:AC15,"遅")+COUNTIF(B15:AC15,"オソ")</f>
        <v>0</v>
      </c>
      <c r="AJ15" s="13">
        <f>COUNTIF(B15:AC15,"E")+COUNTIF(B15:AC15,"イブ")</f>
        <v>0</v>
      </c>
      <c r="AK15" s="13">
        <f>COUNTIF(B15:AC15,"8時")</f>
        <v>0</v>
      </c>
    </row>
    <row r="16" ht="20" customHeight="1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  <c r="AI16" s="13">
        <f>COUNTIF(B16:AC16,"遅")+COUNTIF(B16:AC16,"オソ")</f>
        <v>0</v>
      </c>
      <c r="AJ16" s="13">
        <f>COUNTIF(B16:AC16,"E")+COUNTIF(B16:AC16,"イブ")</f>
        <v>0</v>
      </c>
      <c r="AK16" s="13">
        <f>COUNTIF(B16:AC16,"8時")</f>
        <v>0</v>
      </c>
    </row>
    <row r="17" ht="20" customHeight="1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  <c r="AI17" s="13">
        <f>COUNTIF(B17:AC17,"遅")+COUNTIF(B17:AC17,"オソ")</f>
        <v>0</v>
      </c>
      <c r="AJ17" s="13">
        <f>COUNTIF(B17:AC17,"E")+COUNTIF(B17:AC17,"イブ")</f>
        <v>0</v>
      </c>
      <c r="AK17" s="13">
        <f>COUNTIF(B17:AC17,"8時")</f>
        <v>0</v>
      </c>
    </row>
    <row r="18" ht="20" customHeight="1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  <c r="AI18" s="13">
        <f>COUNTIF(B18:AC18,"遅")+COUNTIF(B18:AC18,"オソ")</f>
        <v>0</v>
      </c>
      <c r="AJ18" s="13">
        <f>COUNTIF(B18:AC18,"E")+COUNTIF(B18:AC18,"イブ")</f>
        <v>0</v>
      </c>
      <c r="AK18" s="13">
        <f>COUNTIF(B18:AC18,"8時")</f>
        <v>0</v>
      </c>
    </row>
    <row r="19" ht="20" customHeight="1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  <c r="AI19" s="13">
        <f>COUNTIF(B19:AC19,"遅")+COUNTIF(B19:AC19,"オソ")</f>
        <v>0</v>
      </c>
      <c r="AJ19" s="13">
        <f>COUNTIF(B19:AC19,"E")+COUNTIF(B19:AC19,"イブ")</f>
        <v>0</v>
      </c>
      <c r="AK19" s="13">
        <f>COUNTIF(B19:AC19,"8時")</f>
        <v>0</v>
      </c>
    </row>
    <row r="20" ht="20" customHeight="1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  <c r="AI20" s="13">
        <f>COUNTIF(B20:AC20,"遅")+COUNTIF(B20:AC20,"オソ")</f>
        <v>0</v>
      </c>
      <c r="AJ20" s="13">
        <f>COUNTIF(B20:AC20,"E")+COUNTIF(B20:AC20,"イブ")</f>
        <v>0</v>
      </c>
      <c r="AK20" s="13">
        <f>COUNTIF(B20:AC20,"8時")</f>
        <v>0</v>
      </c>
    </row>
    <row r="21" ht="20" customHeight="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  <c r="AI21" s="13">
        <f>COUNTIF(B21:AC21,"遅")+COUNTIF(B21:AC21,"オソ")</f>
        <v>0</v>
      </c>
      <c r="AJ21" s="13">
        <f>COUNTIF(B21:AC21,"E")+COUNTIF(B21:AC21,"イブ")</f>
        <v>0</v>
      </c>
      <c r="AK21" s="13">
        <f>COUNTIF(B21:AC21,"8時")</f>
        <v>0</v>
      </c>
    </row>
    <row r="22" ht="20" customHeight="1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  <c r="AI22" s="13">
        <f>COUNTIF(B22:AC22,"遅")+COUNTIF(B22:AC22,"オソ")</f>
        <v>0</v>
      </c>
      <c r="AJ22" s="13">
        <f>COUNTIF(B22:AC22,"E")+COUNTIF(B22:AC22,"イブ")</f>
        <v>0</v>
      </c>
      <c r="AK22" s="13">
        <f>COUNTIF(B22:AC22,"8時")</f>
        <v>0</v>
      </c>
    </row>
    <row r="23" ht="20" customHeight="1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  <c r="AI23" s="13">
        <f>COUNTIF(B23:AC23,"遅")+COUNTIF(B23:AC23,"オソ")</f>
        <v>0</v>
      </c>
      <c r="AJ23" s="13">
        <f>COUNTIF(B23:AC23,"E")+COUNTIF(B23:AC23,"イブ")</f>
        <v>0</v>
      </c>
      <c r="AK23" s="13">
        <f>COUNTIF(B23:AC23,"8時")</f>
        <v>0</v>
      </c>
    </row>
    <row r="24" ht="20" customHeight="1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  <c r="AI24" s="13">
        <f>COUNTIF(B24:AC24,"遅")+COUNTIF(B24:AC24,"オソ")</f>
        <v>0</v>
      </c>
      <c r="AJ24" s="13">
        <f>COUNTIF(B24:AC24,"E")+COUNTIF(B24:AC24,"イブ")</f>
        <v>0</v>
      </c>
      <c r="AK24" s="13">
        <f>COUNTIF(B24:AC24,"8時")</f>
        <v>0</v>
      </c>
    </row>
    <row r="25" ht="20" customHeight="1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  <c r="AI25" s="13">
        <f>COUNTIF(B25:AC25,"遅")+COUNTIF(B25:AC25,"オソ")</f>
        <v>0</v>
      </c>
      <c r="AJ25" s="13">
        <f>COUNTIF(B25:AC25,"E")+COUNTIF(B25:AC25,"イブ")</f>
        <v>0</v>
      </c>
      <c r="AK25" s="13">
        <f>COUNTIF(B25:AC25,"8時")</f>
        <v>0</v>
      </c>
    </row>
    <row r="26" ht="20" customHeight="1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  <c r="AI26" s="13">
        <f>COUNTIF(B26:AC26,"遅")+COUNTIF(B26:AC26,"オソ")</f>
        <v>0</v>
      </c>
      <c r="AJ26" s="13">
        <f>COUNTIF(B26:AC26,"E")+COUNTIF(B26:AC26,"イブ")</f>
        <v>0</v>
      </c>
      <c r="AK26" s="13">
        <f>COUNTIF(B26:AC26,"8時")</f>
        <v>0</v>
      </c>
    </row>
    <row r="27" ht="20" customHeight="1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  <c r="AI27" s="13">
        <f>COUNTIF(B27:AC27,"遅")+COUNTIF(B27:AC27,"オソ")</f>
        <v>0</v>
      </c>
      <c r="AJ27" s="13">
        <f>COUNTIF(B27:AC27,"E")+COUNTIF(B27:AC27,"イブ")</f>
        <v>0</v>
      </c>
      <c r="AK27" s="13">
        <f>COUNTIF(B27:AC27,"8時")</f>
        <v>0</v>
      </c>
    </row>
    <row r="28" ht="20" customHeight="1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  <c r="AI28" s="13">
        <f>COUNTIF(B28:AC28,"遅")+COUNTIF(B28:AC28,"オソ")</f>
        <v>0</v>
      </c>
      <c r="AJ28" s="13">
        <f>COUNTIF(B28:AC28,"E")+COUNTIF(B28:AC28,"イブ")</f>
        <v>0</v>
      </c>
      <c r="AK28" s="13">
        <f>COUNTIF(B28:AC28,"8時")</f>
        <v>0</v>
      </c>
    </row>
    <row r="29" ht="20" customHeight="1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  <c r="AI29" s="13">
        <f>COUNTIF(B29:AC29,"遅")+COUNTIF(B29:AC29,"オソ")</f>
        <v>0</v>
      </c>
      <c r="AJ29" s="13">
        <f>COUNTIF(B29:AC29,"E")+COUNTIF(B29:AC29,"イブ")</f>
        <v>0</v>
      </c>
      <c r="AK29" s="13">
        <f>COUNTIF(B29:AC29,"8時")</f>
        <v>0</v>
      </c>
    </row>
    <row r="30" ht="20" customHeight="1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  <c r="AI30" s="13">
        <f>COUNTIF(B30:AC30,"遅")+COUNTIF(B30:AC30,"オソ")</f>
        <v>0</v>
      </c>
      <c r="AJ30" s="13">
        <f>COUNTIF(B30:AC30,"E")+COUNTIF(B30:AC30,"イブ")</f>
        <v>0</v>
      </c>
      <c r="AK30" s="13">
        <f>COUNTIF(B30:AC30,"8時")</f>
        <v>0</v>
      </c>
    </row>
    <row r="31" ht="20" customHeight="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  <c r="AI31" s="13">
        <f>COUNTIF(B31:AC31,"遅")+COUNTIF(B31:AC31,"オソ")</f>
        <v>0</v>
      </c>
      <c r="AJ31" s="13">
        <f>COUNTIF(B31:AC31,"E")+COUNTIF(B31:AC31,"イブ")</f>
        <v>0</v>
      </c>
      <c r="AK31" s="13">
        <f>COUNTIF(B31:AC31,"8時")</f>
        <v>0</v>
      </c>
    </row>
    <row r="32" ht="20" customHeight="1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  <c r="AI32" s="13">
        <f>COUNTIF(B32:AC32,"遅")+COUNTIF(B32:AC32,"オソ")</f>
        <v>0</v>
      </c>
      <c r="AJ32" s="13">
        <f>COUNTIF(B32:AC32,"E")+COUNTIF(B32:AC32,"イブ")</f>
        <v>0</v>
      </c>
      <c r="AK32" s="13">
        <f>COUNTIF(B32:AC32,"8時")</f>
        <v>0</v>
      </c>
    </row>
    <row r="33" ht="20" customHeight="1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  <c r="AI33" s="13">
        <f>COUNTIF(B33:AC33,"遅")+COUNTIF(B33:AC33,"オソ")</f>
        <v>0</v>
      </c>
      <c r="AJ33" s="13">
        <f>COUNTIF(B33:AC33,"E")+COUNTIF(B33:AC33,"イブ")</f>
        <v>0</v>
      </c>
      <c r="AK33" s="13">
        <f>COUNTIF(B33:AC33,"8時")</f>
        <v>0</v>
      </c>
    </row>
    <row r="34" ht="20" customHeight="1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  <c r="AI34" s="13">
        <f>COUNTIF(B34:AC34,"遅")+COUNTIF(B34:AC34,"オソ")</f>
        <v>0</v>
      </c>
      <c r="AJ34" s="13">
        <f>COUNTIF(B34:AC34,"E")+COUNTIF(B34:AC34,"イブ")</f>
        <v>0</v>
      </c>
      <c r="AK34" s="13">
        <f>COUNTIF(B34:AC34,"8時")</f>
        <v>0</v>
      </c>
    </row>
    <row r="35" ht="20" customHeight="1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  <c r="AI35" s="13">
        <f>COUNTIF(B35:AC35,"遅")+COUNTIF(B35:AC35,"オソ")</f>
        <v>0</v>
      </c>
      <c r="AJ35" s="13">
        <f>COUNTIF(B35:AC35,"E")+COUNTIF(B35:AC35,"イブ")</f>
        <v>0</v>
      </c>
      <c r="AK35" s="13">
        <f>COUNTIF(B35:AC35,"8時")</f>
        <v>0</v>
      </c>
    </row>
    <row r="36" ht="20" customHeight="1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  <c r="AI36" s="13">
        <f>COUNTIF(B36:AC36,"遅")+COUNTIF(B36:AC36,"オソ")</f>
        <v>0</v>
      </c>
      <c r="AJ36" s="13">
        <f>COUNTIF(B36:AC36,"E")+COUNTIF(B36:AC36,"イブ")</f>
        <v>0</v>
      </c>
      <c r="AK36" s="13">
        <f>COUNTIF(B36:AC36,"8時")</f>
        <v>0</v>
      </c>
    </row>
    <row r="37" ht="20" customHeight="1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  <c r="AI37" s="13">
        <f>COUNTIF(B37:AC37,"遅")+COUNTIF(B37:AC37,"オソ")</f>
        <v>0</v>
      </c>
      <c r="AJ37" s="13">
        <f>COUNTIF(B37:AC37,"E")+COUNTIF(B37:AC37,"イブ")</f>
        <v>0</v>
      </c>
      <c r="AK37" s="13">
        <f>COUNTIF(B37:AC37,"8時")</f>
        <v>0</v>
      </c>
    </row>
    <row r="38" ht="20" customHeight="1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  <c r="AI38" s="13">
        <f>COUNTIF(B38:AC38,"遅")+COUNTIF(B38:AC38,"オソ")</f>
        <v>0</v>
      </c>
      <c r="AJ38" s="13">
        <f>COUNTIF(B38:AC38,"E")+COUNTIF(B38:AC38,"イブ")</f>
        <v>0</v>
      </c>
      <c r="AK38" s="13">
        <f>COUNTIF(B38:AC38,"8時")</f>
        <v>0</v>
      </c>
    </row>
    <row r="39" ht="20" customHeight="1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  <c r="AI39" s="13">
        <f>COUNTIF(B39:AC39,"遅")+COUNTIF(B39:AC39,"オソ")</f>
        <v>0</v>
      </c>
      <c r="AJ39" s="13">
        <f>COUNTIF(B39:AC39,"E")+COUNTIF(B39:AC39,"イブ")</f>
        <v>0</v>
      </c>
      <c r="AK39" s="13">
        <f>COUNTIF(B39:AC39,"8時")</f>
        <v>0</v>
      </c>
    </row>
    <row r="40" ht="20" customHeight="1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  <c r="AI40" s="13">
        <f>COUNTIF(B40:AC40,"遅")+COUNTIF(B40:AC40,"オソ")</f>
        <v>0</v>
      </c>
      <c r="AJ40" s="13">
        <f>COUNTIF(B40:AC40,"E")+COUNTIF(B40:AC40,"イブ")</f>
        <v>0</v>
      </c>
      <c r="AK40" s="13">
        <f>COUNTIF(B40:AC40,"8時")</f>
        <v>0</v>
      </c>
    </row>
    <row r="41" ht="20" customHeight="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  <c r="AI41" s="13">
        <f>COUNTIF(B41:AC41,"遅")+COUNTIF(B41:AC41,"オソ")</f>
        <v>0</v>
      </c>
      <c r="AJ41" s="13">
        <f>COUNTIF(B41:AC41,"E")+COUNTIF(B41:AC41,"イブ")</f>
        <v>0</v>
      </c>
      <c r="AK41" s="13">
        <f>COUNTIF(B41:AC41,"8時")</f>
        <v>0</v>
      </c>
    </row>
    <row r="42" ht="20" customHeight="1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  <c r="AI42" s="13">
        <f>COUNTIF(B42:AC42,"遅")+COUNTIF(B42:AC42,"オソ")</f>
        <v>0</v>
      </c>
      <c r="AJ42" s="13">
        <f>COUNTIF(B42:AC42,"E")+COUNTIF(B42:AC42,"イブ")</f>
        <v>0</v>
      </c>
      <c r="AK42" s="13">
        <f>COUNTIF(B42:AC42,"8時")</f>
        <v>0</v>
      </c>
    </row>
    <row r="43" ht="20" customHeight="1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  <c r="AI43" s="13">
        <f>COUNTIF(B43:AC43,"遅")+COUNTIF(B43:AC43,"オソ")</f>
        <v>0</v>
      </c>
      <c r="AJ43" s="13">
        <f>COUNTIF(B43:AC43,"E")+COUNTIF(B43:AC43,"イブ")</f>
        <v>0</v>
      </c>
      <c r="AK43" s="13">
        <f>COUNTIF(B43:AC43,"8時")</f>
        <v>0</v>
      </c>
    </row>
    <row r="44" ht="20" customHeight="1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  <c r="AI44" s="13">
        <f>COUNTIF(B44:AC44,"遅")+COUNTIF(B44:AC44,"オソ")</f>
        <v>0</v>
      </c>
      <c r="AJ44" s="13">
        <f>COUNTIF(B44:AC44,"E")+COUNTIF(B44:AC44,"イブ")</f>
        <v>0</v>
      </c>
      <c r="AK44" s="13">
        <f>COUNTIF(B44:AC44,"8時")</f>
        <v>0</v>
      </c>
    </row>
    <row r="45" ht="20" customHeight="1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  <c r="AI45" s="13">
        <f>COUNTIF(B45:AC45,"遅")+COUNTIF(B45:AC45,"オソ")</f>
        <v>0</v>
      </c>
      <c r="AJ45" s="13">
        <f>COUNTIF(B45:AC45,"E")+COUNTIF(B45:AC45,"イブ")</f>
        <v>0</v>
      </c>
      <c r="AK45" s="13">
        <f>COUNTIF(B45:AC45,"8時")</f>
        <v>0</v>
      </c>
    </row>
    <row r="46" ht="20" customHeight="1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  <c r="AI46" s="13">
        <f>COUNTIF(B46:AC46,"遅")+COUNTIF(B46:AC46,"オソ")</f>
        <v>0</v>
      </c>
      <c r="AJ46" s="13">
        <f>COUNTIF(B46:AC46,"E")+COUNTIF(B46:AC46,"イブ")</f>
        <v>0</v>
      </c>
      <c r="AK46" s="13">
        <f>COUNTIF(B46:AC46,"8時")</f>
        <v>0</v>
      </c>
    </row>
    <row r="47" ht="20" customHeight="1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  <c r="AI47" s="13">
        <f>COUNTIF(B47:AC47,"遅")+COUNTIF(B47:AC47,"オソ")</f>
        <v>0</v>
      </c>
      <c r="AJ47" s="13">
        <f>COUNTIF(B47:AC47,"E")+COUNTIF(B47:AC47,"イブ")</f>
        <v>0</v>
      </c>
      <c r="AK47" s="13">
        <f>COUNTIF(B47:AC47,"8時")</f>
        <v>0</v>
      </c>
    </row>
    <row r="48" ht="20" customHeight="1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  <c r="AI48" s="13">
        <f>COUNTIF(B48:AC48,"遅")+COUNTIF(B48:AC48,"オソ")</f>
        <v>0</v>
      </c>
      <c r="AJ48" s="13">
        <f>COUNTIF(B48:AC48,"E")+COUNTIF(B48:AC48,"イブ")</f>
        <v>0</v>
      </c>
      <c r="AK48" s="13">
        <f>COUNTIF(B48:AC48,"8時")</f>
        <v>0</v>
      </c>
    </row>
    <row r="49" ht="20" customHeight="1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  <c r="AI49" s="13">
        <f>COUNTIF(B49:AC49,"遅")+COUNTIF(B49:AC49,"オソ")</f>
        <v>0</v>
      </c>
      <c r="AJ49" s="13">
        <f>COUNTIF(B49:AC49,"E")+COUNTIF(B49:AC49,"イブ")</f>
        <v>0</v>
      </c>
      <c r="AK49" s="13">
        <f>COUNTIF(B49:AC49,"8時")</f>
        <v>0</v>
      </c>
    </row>
    <row r="50" ht="20" customHeight="1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  <c r="AI50" s="13">
        <f>COUNTIF(B50:AC50,"遅")+COUNTIF(B50:AC50,"オソ")</f>
        <v>0</v>
      </c>
      <c r="AJ50" s="13">
        <f>COUNTIF(B50:AC50,"E")+COUNTIF(B50:AC50,"イブ")</f>
        <v>0</v>
      </c>
      <c r="AK50" s="13">
        <f>COUNTIF(B50:AC50,"8時")</f>
        <v>0</v>
      </c>
    </row>
    <row r="51" ht="20" customHeight="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  <c r="AI51" s="13">
        <f>COUNTIF(B51:AC51,"遅")+COUNTIF(B51:AC51,"オソ")</f>
        <v>0</v>
      </c>
      <c r="AJ51" s="13">
        <f>COUNTIF(B51:AC51,"E")+COUNTIF(B51:AC51,"イブ")</f>
        <v>0</v>
      </c>
      <c r="AK51" s="13">
        <f>COUNTIF(B51:AC51,"8時")</f>
        <v>0</v>
      </c>
    </row>
    <row r="52" ht="20" customHeight="1">
      <c r="A52" s="9" t="inlineStr">
        <is>
          <t>出勤人数合計</t>
        </is>
      </c>
      <c r="B52" s="9">
        <f>SUM(COUNTIF(B$4:B$51,"○"),COUNTIF(B$4:B$51,"〇"),COUNTIF(B$4:B$51,"出"),COUNTIF(B$4:B$51,"早"),COUNTIF(B$4:B$51,"遅"),COUNTIF(B$4:B$51,"E"),COUNTIF(B$4:B$51,"8時"),COUNTIF(B$4:B$51,"ハヤ"),COUNTIF(B$4:B$51,"オソ"),COUNTIF(B$4:B$51,"イブ"))</f>
        <v>0</v>
      </c>
      <c r="C52" s="9">
        <f>SUM(COUNTIF(C$4:C$51,"○"),COUNTIF(C$4:C$51,"〇"),COUNTIF(C$4:C$51,"出"),COUNTIF(C$4:C$51,"早"),COUNTIF(C$4:C$51,"遅"),COUNTIF(C$4:C$51,"E"),COUNTIF(C$4:C$51,"8時"),COUNTIF(C$4:C$51,"ハヤ"),COUNTIF(C$4:C$51,"オソ"),COUNTIF(C$4:C$51,"イブ"))</f>
        <v>0</v>
      </c>
      <c r="D52" s="9">
        <f>SUM(COUNTIF(D$4:D$51,"○"),COUNTIF(D$4:D$51,"〇"),COUNTIF(D$4:D$51,"出"),COUNTIF(D$4:D$51,"早"),COUNTIF(D$4:D$51,"遅"),COUNTIF(D$4:D$51,"E"),COUNTIF(D$4:D$51,"8時"),COUNTIF(D$4:D$51,"ハヤ"),COUNTIF(D$4:D$51,"オソ"),COUNTIF(D$4:D$51,"イブ"))</f>
        <v>0</v>
      </c>
      <c r="E52" s="9">
        <f>SUM(COUNTIF(E$4:E$51,"○"),COUNTIF(E$4:E$51,"〇"),COUNTIF(E$4:E$51,"出"),COUNTIF(E$4:E$51,"早"),COUNTIF(E$4:E$51,"遅"),COUNTIF(E$4:E$51,"E"),COUNTIF(E$4:E$51,"8時"),COUNTIF(E$4:E$51,"ハヤ"),COUNTIF(E$4:E$51,"オソ"),COUNTIF(E$4:E$51,"イブ"))</f>
        <v>0</v>
      </c>
      <c r="F52" s="9">
        <f>SUM(COUNTIF(F$4:F$51,"○"),COUNTIF(F$4:F$51,"〇"),COUNTIF(F$4:F$51,"出"),COUNTIF(F$4:F$51,"早"),COUNTIF(F$4:F$51,"遅"),COUNTIF(F$4:F$51,"E"),COUNTIF(F$4:F$51,"8時"),COUNTIF(F$4:F$51,"ハヤ"),COUNTIF(F$4:F$51,"オソ"),COUNTIF(F$4:F$51,"イブ"))</f>
        <v>0</v>
      </c>
      <c r="G52" s="9">
        <f>SUM(COUNTIF(G$4:G$51,"○"),COUNTIF(G$4:G$51,"〇"),COUNTIF(G$4:G$51,"出"),COUNTIF(G$4:G$51,"早"),COUNTIF(G$4:G$51,"遅"),COUNTIF(G$4:G$51,"E"),COUNTIF(G$4:G$51,"8時"),COUNTIF(G$4:G$51,"ハヤ"),COUNTIF(G$4:G$51,"オソ"),COUNTIF(G$4:G$51,"イブ"))</f>
        <v>0</v>
      </c>
      <c r="H52" s="9">
        <f>SUM(COUNTIF(H$4:H$51,"○"),COUNTIF(H$4:H$51,"〇"),COUNTIF(H$4:H$51,"出"),COUNTIF(H$4:H$51,"早"),COUNTIF(H$4:H$51,"遅"),COUNTIF(H$4:H$51,"E"),COUNTIF(H$4:H$51,"8時"),COUNTIF(H$4:H$51,"ハヤ"),COUNTIF(H$4:H$51,"オソ"),COUNTIF(H$4:H$51,"イブ"))</f>
        <v>0</v>
      </c>
      <c r="I52" s="9">
        <f>SUM(COUNTIF(I$4:I$51,"○"),COUNTIF(I$4:I$51,"〇"),COUNTIF(I$4:I$51,"出"),COUNTIF(I$4:I$51,"早"),COUNTIF(I$4:I$51,"遅"),COUNTIF(I$4:I$51,"E"),COUNTIF(I$4:I$51,"8時"),COUNTIF(I$4:I$51,"ハヤ"),COUNTIF(I$4:I$51,"オソ"),COUNTIF(I$4:I$51,"イブ"))</f>
        <v>0</v>
      </c>
      <c r="J52" s="9">
        <f>SUM(COUNTIF(J$4:J$51,"○"),COUNTIF(J$4:J$51,"〇"),COUNTIF(J$4:J$51,"出"),COUNTIF(J$4:J$51,"早"),COUNTIF(J$4:J$51,"遅"),COUNTIF(J$4:J$51,"E"),COUNTIF(J$4:J$51,"8時"),COUNTIF(J$4:J$51,"ハヤ"),COUNTIF(J$4:J$51,"オソ"),COUNTIF(J$4:J$51,"イブ"))</f>
        <v>0</v>
      </c>
      <c r="K52" s="9">
        <f>SUM(COUNTIF(K$4:K$51,"○"),COUNTIF(K$4:K$51,"〇"),COUNTIF(K$4:K$51,"出"),COUNTIF(K$4:K$51,"早"),COUNTIF(K$4:K$51,"遅"),COUNTIF(K$4:K$51,"E"),COUNTIF(K$4:K$51,"8時"),COUNTIF(K$4:K$51,"ハヤ"),COUNTIF(K$4:K$51,"オソ"),COUNTIF(K$4:K$51,"イブ"))</f>
        <v>0</v>
      </c>
      <c r="L52" s="9">
        <f>SUM(COUNTIF(L$4:L$51,"○"),COUNTIF(L$4:L$51,"〇"),COUNTIF(L$4:L$51,"出"),COUNTIF(L$4:L$51,"早"),COUNTIF(L$4:L$51,"遅"),COUNTIF(L$4:L$51,"E"),COUNTIF(L$4:L$51,"8時"),COUNTIF(L$4:L$51,"ハヤ"),COUNTIF(L$4:L$51,"オソ"),COUNTIF(L$4:L$51,"イブ"))</f>
        <v>0</v>
      </c>
      <c r="M52" s="9">
        <f>SUM(COUNTIF(M$4:M$51,"○"),COUNTIF(M$4:M$51,"〇"),COUNTIF(M$4:M$51,"出"),COUNTIF(M$4:M$51,"早"),COUNTIF(M$4:M$51,"遅"),COUNTIF(M$4:M$51,"E"),COUNTIF(M$4:M$51,"8時"),COUNTIF(M$4:M$51,"ハヤ"),COUNTIF(M$4:M$51,"オソ"),COUNTIF(M$4:M$51,"イブ"))</f>
        <v>0</v>
      </c>
      <c r="N52" s="9">
        <f>SUM(COUNTIF(N$4:N$51,"○"),COUNTIF(N$4:N$51,"〇"),COUNTIF(N$4:N$51,"出"),COUNTIF(N$4:N$51,"早"),COUNTIF(N$4:N$51,"遅"),COUNTIF(N$4:N$51,"E"),COUNTIF(N$4:N$51,"8時"),COUNTIF(N$4:N$51,"ハヤ"),COUNTIF(N$4:N$51,"オソ"),COUNTIF(N$4:N$51,"イブ"))</f>
        <v>0</v>
      </c>
      <c r="O52" s="9">
        <f>SUM(COUNTIF(O$4:O$51,"○"),COUNTIF(O$4:O$51,"〇"),COUNTIF(O$4:O$51,"出"),COUNTIF(O$4:O$51,"早"),COUNTIF(O$4:O$51,"遅"),COUNTIF(O$4:O$51,"E"),COUNTIF(O$4:O$51,"8時"),COUNTIF(O$4:O$51,"ハヤ"),COUNTIF(O$4:O$51,"オソ"),COUNTIF(O$4:O$51,"イブ"))</f>
        <v>0</v>
      </c>
      <c r="P52" s="9">
        <f>SUM(COUNTIF(P$4:P$51,"○"),COUNTIF(P$4:P$51,"〇"),COUNTIF(P$4:P$51,"出"),COUNTIF(P$4:P$51,"早"),COUNTIF(P$4:P$51,"遅"),COUNTIF(P$4:P$51,"E"),COUNTIF(P$4:P$51,"8時"),COUNTIF(P$4:P$51,"ハヤ"),COUNTIF(P$4:P$51,"オソ"),COUNTIF(P$4:P$51,"イブ"))</f>
        <v>0</v>
      </c>
      <c r="Q52" s="9">
        <f>SUM(COUNTIF(Q$4:Q$51,"○"),COUNTIF(Q$4:Q$51,"〇"),COUNTIF(Q$4:Q$51,"出"),COUNTIF(Q$4:Q$51,"早"),COUNTIF(Q$4:Q$51,"遅"),COUNTIF(Q$4:Q$51,"E"),COUNTIF(Q$4:Q$51,"8時"),COUNTIF(Q$4:Q$51,"ハヤ"),COUNTIF(Q$4:Q$51,"オソ"),COUNTIF(Q$4:Q$51,"イブ"))</f>
        <v>0</v>
      </c>
      <c r="R52" s="9">
        <f>SUM(COUNTIF(R$4:R$51,"○"),COUNTIF(R$4:R$51,"〇"),COUNTIF(R$4:R$51,"出"),COUNTIF(R$4:R$51,"早"),COUNTIF(R$4:R$51,"遅"),COUNTIF(R$4:R$51,"E"),COUNTIF(R$4:R$51,"8時"),COUNTIF(R$4:R$51,"ハヤ"),COUNTIF(R$4:R$51,"オソ"),COUNTIF(R$4:R$51,"イブ"))</f>
        <v>0</v>
      </c>
      <c r="S52" s="9">
        <f>SUM(COUNTIF(S$4:S$51,"○"),COUNTIF(S$4:S$51,"〇"),COUNTIF(S$4:S$51,"出"),COUNTIF(S$4:S$51,"早"),COUNTIF(S$4:S$51,"遅"),COUNTIF(S$4:S$51,"E"),COUNTIF(S$4:S$51,"8時"),COUNTIF(S$4:S$51,"ハヤ"),COUNTIF(S$4:S$51,"オソ"),COUNTIF(S$4:S$51,"イブ"))</f>
        <v>0</v>
      </c>
      <c r="T52" s="9">
        <f>SUM(COUNTIF(T$4:T$51,"○"),COUNTIF(T$4:T$51,"〇"),COUNTIF(T$4:T$51,"出"),COUNTIF(T$4:T$51,"早"),COUNTIF(T$4:T$51,"遅"),COUNTIF(T$4:T$51,"E"),COUNTIF(T$4:T$51,"8時"),COUNTIF(T$4:T$51,"ハヤ"),COUNTIF(T$4:T$51,"オソ"),COUNTIF(T$4:T$51,"イブ"))</f>
        <v>0</v>
      </c>
      <c r="U52" s="9">
        <f>SUM(COUNTIF(U$4:U$51,"○"),COUNTIF(U$4:U$51,"〇"),COUNTIF(U$4:U$51,"出"),COUNTIF(U$4:U$51,"早"),COUNTIF(U$4:U$51,"遅"),COUNTIF(U$4:U$51,"E"),COUNTIF(U$4:U$51,"8時"),COUNTIF(U$4:U$51,"ハヤ"),COUNTIF(U$4:U$51,"オソ"),COUNTIF(U$4:U$51,"イブ"))</f>
        <v>0</v>
      </c>
      <c r="V52" s="9">
        <f>SUM(COUNTIF(V$4:V$51,"○"),COUNTIF(V$4:V$51,"〇"),COUNTIF(V$4:V$51,"出"),COUNTIF(V$4:V$51,"早"),COUNTIF(V$4:V$51,"遅"),COUNTIF(V$4:V$51,"E"),COUNTIF(V$4:V$51,"8時"),COUNTIF(V$4:V$51,"ハヤ"),COUNTIF(V$4:V$51,"オソ"),COUNTIF(V$4:V$51,"イブ"))</f>
        <v>0</v>
      </c>
      <c r="W52" s="9">
        <f>SUM(COUNTIF(W$4:W$51,"○"),COUNTIF(W$4:W$51,"〇"),COUNTIF(W$4:W$51,"出"),COUNTIF(W$4:W$51,"早"),COUNTIF(W$4:W$51,"遅"),COUNTIF(W$4:W$51,"E"),COUNTIF(W$4:W$51,"8時"),COUNTIF(W$4:W$51,"ハヤ"),COUNTIF(W$4:W$51,"オソ"),COUNTIF(W$4:W$51,"イブ"))</f>
        <v>0</v>
      </c>
      <c r="X52" s="9">
        <f>SUM(COUNTIF(X$4:X$51,"○"),COUNTIF(X$4:X$51,"〇"),COUNTIF(X$4:X$51,"出"),COUNTIF(X$4:X$51,"早"),COUNTIF(X$4:X$51,"遅"),COUNTIF(X$4:X$51,"E"),COUNTIF(X$4:X$51,"8時"),COUNTIF(X$4:X$51,"ハヤ"),COUNTIF(X$4:X$51,"オソ"),COUNTIF(X$4:X$51,"イブ"))</f>
        <v>0</v>
      </c>
      <c r="Y52" s="9">
        <f>SUM(COUNTIF(Y$4:Y$51,"○"),COUNTIF(Y$4:Y$51,"〇"),COUNTIF(Y$4:Y$51,"出"),COUNTIF(Y$4:Y$51,"早"),COUNTIF(Y$4:Y$51,"遅"),COUNTIF(Y$4:Y$51,"E"),COUNTIF(Y$4:Y$51,"8時"),COUNTIF(Y$4:Y$51,"ハヤ"),COUNTIF(Y$4:Y$51,"オソ"),COUNTIF(Y$4:Y$51,"イブ"))</f>
        <v>0</v>
      </c>
      <c r="Z52" s="9">
        <f>SUM(COUNTIF(Z$4:Z$51,"○"),COUNTIF(Z$4:Z$51,"〇"),COUNTIF(Z$4:Z$51,"出"),COUNTIF(Z$4:Z$51,"早"),COUNTIF(Z$4:Z$51,"遅"),COUNTIF(Z$4:Z$51,"E"),COUNTIF(Z$4:Z$51,"8時"),COUNTIF(Z$4:Z$51,"ハヤ"),COUNTIF(Z$4:Z$51,"オソ"),COUNTIF(Z$4:Z$51,"イブ"))</f>
        <v>0</v>
      </c>
      <c r="AA52" s="9">
        <f>SUM(COUNTIF(AA$4:AA$51,"○"),COUNTIF(AA$4:AA$51,"〇"),COUNTIF(AA$4:AA$51,"出"),COUNTIF(AA$4:AA$51,"早"),COUNTIF(AA$4:AA$51,"遅"),COUNTIF(AA$4:AA$51,"E"),COUNTIF(AA$4:AA$51,"8時"),COUNTIF(AA$4:AA$51,"ハヤ"),COUNTIF(AA$4:AA$51,"オソ"),COUNTIF(AA$4:AA$51,"イブ"))</f>
        <v>0</v>
      </c>
      <c r="AB52" s="9">
        <f>SUM(COUNTIF(AB$4:AB$51,"○"),COUNTIF(AB$4:AB$51,"〇"),COUNTIF(AB$4:AB$51,"出"),COUNTIF(AB$4:AB$51,"早"),COUNTIF(AB$4:AB$51,"遅"),COUNTIF(AB$4:AB$51,"E"),COUNTIF(AB$4:AB$51,"8時"),COUNTIF(AB$4:AB$51,"ハヤ"),COUNTIF(AB$4:AB$51,"オソ"),COUNTIF(AB$4:AB$51,"イブ"))</f>
        <v>0</v>
      </c>
      <c r="AC52" s="9">
        <f>SUM(COUNTIF(AC$4:AC$51,"○"),COUNTIF(AC$4:AC$51,"〇"),COUNTIF(AC$4:AC$51,"出"),COUNTIF(AC$4:AC$51,"早"),COUNTIF(AC$4:AC$51,"遅"),COUNTIF(AC$4:AC$51,"E"),COUNTIF(AC$4:AC$51,"8時"),COUNTIF(AC$4:AC$51,"ハヤ"),COUNTIF(AC$4:AC$51,"オソ"),COUNTIF(AC$4:AC$51,"イブ"))</f>
        <v>0</v>
      </c>
      <c r="AD52" s="9">
        <f>SUM(AD$4:AD$51)</f>
        <v>0</v>
      </c>
      <c r="AE52" s="9">
        <f>SUM(AE$4:AE$51)</f>
        <v>0</v>
      </c>
      <c r="AF52" s="9">
        <f>SUM(AF$4:AF$51)</f>
        <v>0</v>
      </c>
      <c r="AG52" s="9">
        <f>SUM(AG$4:AG$51)</f>
        <v>0</v>
      </c>
      <c r="AH52" s="13">
        <f>SUM(AH$4:AH$51)</f>
        <v>0</v>
      </c>
      <c r="AI52" s="13">
        <f>SUM(AI$4:AI$51)</f>
        <v>0</v>
      </c>
      <c r="AJ52" s="13">
        <f>SUM(AJ$4:AJ$51)</f>
        <v>0</v>
      </c>
      <c r="AK52" s="13">
        <f>SUM(AK$4:AK$51)</f>
        <v>0</v>
      </c>
    </row>
    <row r="53" ht="20" customHeight="1">
      <c r="A53" s="9" t="inlineStr">
        <is>
          <t>実数合計</t>
        </is>
      </c>
      <c r="B53" s="9">
        <f>B52</f>
        <v>0</v>
      </c>
      <c r="C53" s="9">
        <f>C52</f>
        <v>0</v>
      </c>
      <c r="D53" s="9">
        <f>D52</f>
        <v>0</v>
      </c>
      <c r="E53" s="9">
        <f>E52-(-2)</f>
        <v>0</v>
      </c>
      <c r="F53" s="9">
        <f>F52-(-2)</f>
        <v>0</v>
      </c>
      <c r="G53" s="9">
        <f>G52</f>
        <v>0</v>
      </c>
      <c r="H53" s="9">
        <f>H52</f>
        <v>0</v>
      </c>
      <c r="I53" s="9">
        <f>I52</f>
        <v>0</v>
      </c>
      <c r="J53" s="9">
        <f>J52</f>
        <v>0</v>
      </c>
      <c r="K53" s="9">
        <f>K52</f>
        <v>0</v>
      </c>
      <c r="L53" s="9">
        <f>L52</f>
        <v>0</v>
      </c>
      <c r="M53" s="9">
        <f>M52</f>
        <v>0</v>
      </c>
      <c r="N53" s="9">
        <f>N52</f>
        <v>0</v>
      </c>
      <c r="O53" s="9">
        <f>O52</f>
        <v>0</v>
      </c>
      <c r="P53" s="9">
        <f>P52</f>
        <v>0</v>
      </c>
      <c r="Q53" s="9">
        <f>Q52</f>
        <v>0</v>
      </c>
      <c r="R53" s="9">
        <f>R52</f>
        <v>0</v>
      </c>
      <c r="S53" s="9">
        <f>S52</f>
        <v>0</v>
      </c>
      <c r="T53" s="9">
        <f>T52</f>
        <v>0</v>
      </c>
      <c r="U53" s="9">
        <f>U52</f>
        <v>0</v>
      </c>
      <c r="V53" s="9">
        <f>V52</f>
        <v>0</v>
      </c>
      <c r="W53" s="9">
        <f>W52</f>
        <v>0</v>
      </c>
      <c r="X53" s="9">
        <f>X52</f>
        <v>0</v>
      </c>
      <c r="Y53" s="9">
        <f>Y52</f>
        <v>0</v>
      </c>
      <c r="Z53" s="9">
        <f>Z52</f>
        <v>0</v>
      </c>
      <c r="AA53" s="9">
        <f>AA52</f>
        <v>0</v>
      </c>
      <c r="AB53" s="9">
        <f>AB52</f>
        <v>0</v>
      </c>
      <c r="AC53" s="9">
        <f>AC52</f>
        <v>0</v>
      </c>
      <c r="AD53" s="9">
        <f>SUM(B53:AC53)</f>
        <v>0</v>
      </c>
      <c r="AE53" s="9" t="inlineStr">
        <is>
          <t>-</t>
        </is>
      </c>
      <c r="AF53" s="9" t="inlineStr">
        <is>
          <t>-</t>
        </is>
      </c>
      <c r="AG53" s="9" t="inlineStr">
        <is>
          <t>-</t>
        </is>
      </c>
      <c r="AH53" s="9" t="inlineStr">
        <is>
          <t>-</t>
        </is>
      </c>
      <c r="AI53" s="9" t="inlineStr">
        <is>
          <t>-</t>
        </is>
      </c>
      <c r="AJ53" s="9" t="inlineStr">
        <is>
          <t>-</t>
        </is>
      </c>
      <c r="AK53" s="9" t="inlineStr">
        <is>
          <t>-</t>
        </is>
      </c>
    </row>
    <row r="54" ht="20" customHeight="1">
      <c r="A54" s="10" t="inlineStr">
        <is>
          <t>PT A 出勤</t>
        </is>
      </c>
      <c r="B54" s="10">
        <f>SUM(COUNTIF(B$4:B$13,"○"),COUNTIF(B$4:B$13,"〇"),COUNTIF(B$4:B$13,"出"),COUNTIF(B$4:B$13,"早"),COUNTIF(B$4:B$13,"遅"),COUNTIF(B$4:B$13,"E"),COUNTIF(B$4:B$13,"8時"),COUNTIF(B$4:B$13,"ハヤ"),COUNTIF(B$4:B$13,"オソ"),COUNTIF(B$4:B$13,"イブ"))</f>
        <v>0</v>
      </c>
      <c r="C54" s="10">
        <f>SUM(COUNTIF(C$4:C$13,"○"),COUNTIF(C$4:C$13,"〇"),COUNTIF(C$4:C$13,"出"),COUNTIF(C$4:C$13,"早"),COUNTIF(C$4:C$13,"遅"),COUNTIF(C$4:C$13,"E"),COUNTIF(C$4:C$13,"8時"),COUNTIF(C$4:C$13,"ハヤ"),COUNTIF(C$4:C$13,"オソ"),COUNTIF(C$4:C$13,"イブ"))</f>
        <v>0</v>
      </c>
      <c r="D54" s="10">
        <f>SUM(COUNTIF(D$4:D$13,"○"),COUNTIF(D$4:D$13,"〇"),COUNTIF(D$4:D$13,"出"),COUNTIF(D$4:D$13,"早"),COUNTIF(D$4:D$13,"遅"),COUNTIF(D$4:D$13,"E"),COUNTIF(D$4:D$13,"8時"),COUNTIF(D$4:D$13,"ハヤ"),COUNTIF(D$4:D$13,"オソ"),COUNTIF(D$4:D$13,"イブ"))</f>
        <v>0</v>
      </c>
      <c r="E54" s="10">
        <f>SUM(COUNTIF(E$4:E$13,"○"),COUNTIF(E$4:E$13,"〇"),COUNTIF(E$4:E$13,"出"),COUNTIF(E$4:E$13,"早"),COUNTIF(E$4:E$13,"遅"),COUNTIF(E$4:E$13,"E"),COUNTIF(E$4:E$13,"8時"),COUNTIF(E$4:E$13,"ハヤ"),COUNTIF(E$4:E$13,"オソ"),COUNTIF(E$4:E$13,"イブ"))</f>
        <v>0</v>
      </c>
      <c r="F54" s="10">
        <f>SUM(COUNTIF(F$4:F$13,"○"),COUNTIF(F$4:F$13,"〇"),COUNTIF(F$4:F$13,"出"),COUNTIF(F$4:F$13,"早"),COUNTIF(F$4:F$13,"遅"),COUNTIF(F$4:F$13,"E"),COUNTIF(F$4:F$13,"8時"),COUNTIF(F$4:F$13,"ハヤ"),COUNTIF(F$4:F$13,"オソ"),COUNTIF(F$4:F$13,"イブ"))</f>
        <v>0</v>
      </c>
      <c r="G54" s="10">
        <f>SUM(COUNTIF(G$4:G$13,"○"),COUNTIF(G$4:G$13,"〇"),COUNTIF(G$4:G$13,"出"),COUNTIF(G$4:G$13,"早"),COUNTIF(G$4:G$13,"遅"),COUNTIF(G$4:G$13,"E"),COUNTIF(G$4:G$13,"8時"),COUNTIF(G$4:G$13,"ハヤ"),COUNTIF(G$4:G$13,"オソ"),COUNTIF(G$4:G$13,"イブ"))</f>
        <v>0</v>
      </c>
      <c r="H54" s="10">
        <f>SUM(COUNTIF(H$4:H$13,"○"),COUNTIF(H$4:H$13,"〇"),COUNTIF(H$4:H$13,"出"),COUNTIF(H$4:H$13,"早"),COUNTIF(H$4:H$13,"遅"),COUNTIF(H$4:H$13,"E"),COUNTIF(H$4:H$13,"8時"),COUNTIF(H$4:H$13,"ハヤ"),COUNTIF(H$4:H$13,"オソ"),COUNTIF(H$4:H$13,"イブ"))</f>
        <v>0</v>
      </c>
      <c r="I54" s="10">
        <f>SUM(COUNTIF(I$4:I$13,"○"),COUNTIF(I$4:I$13,"〇"),COUNTIF(I$4:I$13,"出"),COUNTIF(I$4:I$13,"早"),COUNTIF(I$4:I$13,"遅"),COUNTIF(I$4:I$13,"E"),COUNTIF(I$4:I$13,"8時"),COUNTIF(I$4:I$13,"ハヤ"),COUNTIF(I$4:I$13,"オソ"),COUNTIF(I$4:I$13,"イブ"))</f>
        <v>0</v>
      </c>
      <c r="J54" s="10">
        <f>SUM(COUNTIF(J$4:J$13,"○"),COUNTIF(J$4:J$13,"〇"),COUNTIF(J$4:J$13,"出"),COUNTIF(J$4:J$13,"早"),COUNTIF(J$4:J$13,"遅"),COUNTIF(J$4:J$13,"E"),COUNTIF(J$4:J$13,"8時"),COUNTIF(J$4:J$13,"ハヤ"),COUNTIF(J$4:J$13,"オソ"),COUNTIF(J$4:J$13,"イブ"))</f>
        <v>0</v>
      </c>
      <c r="K54" s="10">
        <f>SUM(COUNTIF(K$4:K$13,"○"),COUNTIF(K$4:K$13,"〇"),COUNTIF(K$4:K$13,"出"),COUNTIF(K$4:K$13,"早"),COUNTIF(K$4:K$13,"遅"),COUNTIF(K$4:K$13,"E"),COUNTIF(K$4:K$13,"8時"),COUNTIF(K$4:K$13,"ハヤ"),COUNTIF(K$4:K$13,"オソ"),COUNTIF(K$4:K$13,"イブ"))</f>
        <v>0</v>
      </c>
      <c r="L54" s="10">
        <f>SUM(COUNTIF(L$4:L$13,"○"),COUNTIF(L$4:L$13,"〇"),COUNTIF(L$4:L$13,"出"),COUNTIF(L$4:L$13,"早"),COUNTIF(L$4:L$13,"遅"),COUNTIF(L$4:L$13,"E"),COUNTIF(L$4:L$13,"8時"),COUNTIF(L$4:L$13,"ハヤ"),COUNTIF(L$4:L$13,"オソ"),COUNTIF(L$4:L$13,"イブ"))</f>
        <v>0</v>
      </c>
      <c r="M54" s="10">
        <f>SUM(COUNTIF(M$4:M$13,"○"),COUNTIF(M$4:M$13,"〇"),COUNTIF(M$4:M$13,"出"),COUNTIF(M$4:M$13,"早"),COUNTIF(M$4:M$13,"遅"),COUNTIF(M$4:M$13,"E"),COUNTIF(M$4:M$13,"8時"),COUNTIF(M$4:M$13,"ハヤ"),COUNTIF(M$4:M$13,"オソ"),COUNTIF(M$4:M$13,"イブ"))</f>
        <v>0</v>
      </c>
      <c r="N54" s="10">
        <f>SUM(COUNTIF(N$4:N$13,"○"),COUNTIF(N$4:N$13,"〇"),COUNTIF(N$4:N$13,"出"),COUNTIF(N$4:N$13,"早"),COUNTIF(N$4:N$13,"遅"),COUNTIF(N$4:N$13,"E"),COUNTIF(N$4:N$13,"8時"),COUNTIF(N$4:N$13,"ハヤ"),COUNTIF(N$4:N$13,"オソ"),COUNTIF(N$4:N$13,"イブ"))</f>
        <v>0</v>
      </c>
      <c r="O54" s="10">
        <f>SUM(COUNTIF(O$4:O$13,"○"),COUNTIF(O$4:O$13,"〇"),COUNTIF(O$4:O$13,"出"),COUNTIF(O$4:O$13,"早"),COUNTIF(O$4:O$13,"遅"),COUNTIF(O$4:O$13,"E"),COUNTIF(O$4:O$13,"8時"),COUNTIF(O$4:O$13,"ハヤ"),COUNTIF(O$4:O$13,"オソ"),COUNTIF(O$4:O$13,"イブ"))</f>
        <v>0</v>
      </c>
      <c r="P54" s="10">
        <f>SUM(COUNTIF(P$4:P$13,"○"),COUNTIF(P$4:P$13,"〇"),COUNTIF(P$4:P$13,"出"),COUNTIF(P$4:P$13,"早"),COUNTIF(P$4:P$13,"遅"),COUNTIF(P$4:P$13,"E"),COUNTIF(P$4:P$13,"8時"),COUNTIF(P$4:P$13,"ハヤ"),COUNTIF(P$4:P$13,"オソ"),COUNTIF(P$4:P$13,"イブ"))</f>
        <v>0</v>
      </c>
      <c r="Q54" s="10">
        <f>SUM(COUNTIF(Q$4:Q$13,"○"),COUNTIF(Q$4:Q$13,"〇"),COUNTIF(Q$4:Q$13,"出"),COUNTIF(Q$4:Q$13,"早"),COUNTIF(Q$4:Q$13,"遅"),COUNTIF(Q$4:Q$13,"E"),COUNTIF(Q$4:Q$13,"8時"),COUNTIF(Q$4:Q$13,"ハヤ"),COUNTIF(Q$4:Q$13,"オソ"),COUNTIF(Q$4:Q$13,"イブ"))</f>
        <v>0</v>
      </c>
      <c r="R54" s="10">
        <f>SUM(COUNTIF(R$4:R$13,"○"),COUNTIF(R$4:R$13,"〇"),COUNTIF(R$4:R$13,"出"),COUNTIF(R$4:R$13,"早"),COUNTIF(R$4:R$13,"遅"),COUNTIF(R$4:R$13,"E"),COUNTIF(R$4:R$13,"8時"),COUNTIF(R$4:R$13,"ハヤ"),COUNTIF(R$4:R$13,"オソ"),COUNTIF(R$4:R$13,"イブ"))</f>
        <v>0</v>
      </c>
      <c r="S54" s="10">
        <f>SUM(COUNTIF(S$4:S$13,"○"),COUNTIF(S$4:S$13,"〇"),COUNTIF(S$4:S$13,"出"),COUNTIF(S$4:S$13,"早"),COUNTIF(S$4:S$13,"遅"),COUNTIF(S$4:S$13,"E"),COUNTIF(S$4:S$13,"8時"),COUNTIF(S$4:S$13,"ハヤ"),COUNTIF(S$4:S$13,"オソ"),COUNTIF(S$4:S$13,"イブ"))</f>
        <v>0</v>
      </c>
      <c r="T54" s="10">
        <f>SUM(COUNTIF(T$4:T$13,"○"),COUNTIF(T$4:T$13,"〇"),COUNTIF(T$4:T$13,"出"),COUNTIF(T$4:T$13,"早"),COUNTIF(T$4:T$13,"遅"),COUNTIF(T$4:T$13,"E"),COUNTIF(T$4:T$13,"8時"),COUNTIF(T$4:T$13,"ハヤ"),COUNTIF(T$4:T$13,"オソ"),COUNTIF(T$4:T$13,"イブ"))</f>
        <v>0</v>
      </c>
      <c r="U54" s="10">
        <f>SUM(COUNTIF(U$4:U$13,"○"),COUNTIF(U$4:U$13,"〇"),COUNTIF(U$4:U$13,"出"),COUNTIF(U$4:U$13,"早"),COUNTIF(U$4:U$13,"遅"),COUNTIF(U$4:U$13,"E"),COUNTIF(U$4:U$13,"8時"),COUNTIF(U$4:U$13,"ハヤ"),COUNTIF(U$4:U$13,"オソ"),COUNTIF(U$4:U$13,"イブ"))</f>
        <v>0</v>
      </c>
      <c r="V54" s="10">
        <f>SUM(COUNTIF(V$4:V$13,"○"),COUNTIF(V$4:V$13,"〇"),COUNTIF(V$4:V$13,"出"),COUNTIF(V$4:V$13,"早"),COUNTIF(V$4:V$13,"遅"),COUNTIF(V$4:V$13,"E"),COUNTIF(V$4:V$13,"8時"),COUNTIF(V$4:V$13,"ハヤ"),COUNTIF(V$4:V$13,"オソ"),COUNTIF(V$4:V$13,"イブ"))</f>
        <v>0</v>
      </c>
      <c r="W54" s="10">
        <f>SUM(COUNTIF(W$4:W$13,"○"),COUNTIF(W$4:W$13,"〇"),COUNTIF(W$4:W$13,"出"),COUNTIF(W$4:W$13,"早"),COUNTIF(W$4:W$13,"遅"),COUNTIF(W$4:W$13,"E"),COUNTIF(W$4:W$13,"8時"),COUNTIF(W$4:W$13,"ハヤ"),COUNTIF(W$4:W$13,"オソ"),COUNTIF(W$4:W$13,"イブ"))</f>
        <v>0</v>
      </c>
      <c r="X54" s="10">
        <f>SUM(COUNTIF(X$4:X$13,"○"),COUNTIF(X$4:X$13,"〇"),COUNTIF(X$4:X$13,"出"),COUNTIF(X$4:X$13,"早"),COUNTIF(X$4:X$13,"遅"),COUNTIF(X$4:X$13,"E"),COUNTIF(X$4:X$13,"8時"),COUNTIF(X$4:X$13,"ハヤ"),COUNTIF(X$4:X$13,"オソ"),COUNTIF(X$4:X$13,"イブ"))</f>
        <v>0</v>
      </c>
      <c r="Y54" s="10">
        <f>SUM(COUNTIF(Y$4:Y$13,"○"),COUNTIF(Y$4:Y$13,"〇"),COUNTIF(Y$4:Y$13,"出"),COUNTIF(Y$4:Y$13,"早"),COUNTIF(Y$4:Y$13,"遅"),COUNTIF(Y$4:Y$13,"E"),COUNTIF(Y$4:Y$13,"8時"),COUNTIF(Y$4:Y$13,"ハヤ"),COUNTIF(Y$4:Y$13,"オソ"),COUNTIF(Y$4:Y$13,"イブ"))</f>
        <v>0</v>
      </c>
      <c r="Z54" s="10">
        <f>SUM(COUNTIF(Z$4:Z$13,"○"),COUNTIF(Z$4:Z$13,"〇"),COUNTIF(Z$4:Z$13,"出"),COUNTIF(Z$4:Z$13,"早"),COUNTIF(Z$4:Z$13,"遅"),COUNTIF(Z$4:Z$13,"E"),COUNTIF(Z$4:Z$13,"8時"),COUNTIF(Z$4:Z$13,"ハヤ"),COUNTIF(Z$4:Z$13,"オソ"),COUNTIF(Z$4:Z$13,"イブ"))</f>
        <v>0</v>
      </c>
      <c r="AA54" s="10">
        <f>SUM(COUNTIF(AA$4:AA$13,"○"),COUNTIF(AA$4:AA$13,"〇"),COUNTIF(AA$4:AA$13,"出"),COUNTIF(AA$4:AA$13,"早"),COUNTIF(AA$4:AA$13,"遅"),COUNTIF(AA$4:AA$13,"E"),COUNTIF(AA$4:AA$13,"8時"),COUNTIF(AA$4:AA$13,"ハヤ"),COUNTIF(AA$4:AA$13,"オソ"),COUNTIF(AA$4:AA$13,"イブ"))</f>
        <v>0</v>
      </c>
      <c r="AB54" s="10">
        <f>SUM(COUNTIF(AB$4:AB$13,"○"),COUNTIF(AB$4:AB$13,"〇"),COUNTIF(AB$4:AB$13,"出"),COUNTIF(AB$4:AB$13,"早"),COUNTIF(AB$4:AB$13,"遅"),COUNTIF(AB$4:AB$13,"E"),COUNTIF(AB$4:AB$13,"8時"),COUNTIF(AB$4:AB$13,"ハヤ"),COUNTIF(AB$4:AB$13,"オソ"),COUNTIF(AB$4:AB$13,"イブ"))</f>
        <v>0</v>
      </c>
      <c r="AC54" s="10">
        <f>SUM(COUNTIF(AC$4:AC$13,"○"),COUNTIF(AC$4:AC$13,"〇"),COUNTIF(AC$4:AC$13,"出"),COUNTIF(AC$4:AC$13,"早"),COUNTIF(AC$4:AC$13,"遅"),COUNTIF(AC$4:AC$13,"E"),COUNTIF(AC$4:AC$13,"8時"),COUNTIF(AC$4:AC$13,"ハヤ"),COUNTIF(AC$4:AC$13,"オソ"),COUNTIF(AC$4:AC$13,"イブ"))</f>
        <v>0</v>
      </c>
      <c r="AD54" s="10">
        <f>SUM(B54:AC54)</f>
        <v>0</v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-</t>
        </is>
      </c>
      <c r="AI54" s="10" t="inlineStr">
        <is>
          <t>-</t>
        </is>
      </c>
      <c r="AJ54" s="10" t="inlineStr">
        <is>
          <t>-</t>
        </is>
      </c>
      <c r="AK54" s="10" t="inlineStr">
        <is>
          <t>-</t>
        </is>
      </c>
    </row>
    <row r="55" ht="20" customHeight="1">
      <c r="A55" s="10" t="inlineStr">
        <is>
          <t>OT A 出勤</t>
        </is>
      </c>
      <c r="B55" s="10">
        <f>SUM(COUNTIF(B$14:B$23,"○"),COUNTIF(B$14:B$23,"〇"),COUNTIF(B$14:B$23,"出"),COUNTIF(B$14:B$23,"早"),COUNTIF(B$14:B$23,"遅"),COUNTIF(B$14:B$23,"E"),COUNTIF(B$14:B$23,"8時"),COUNTIF(B$14:B$23,"ハヤ"),COUNTIF(B$14:B$23,"オソ"),COUNTIF(B$14:B$23,"イブ"))</f>
        <v>0</v>
      </c>
      <c r="C55" s="10">
        <f>SUM(COUNTIF(C$14:C$23,"○"),COUNTIF(C$14:C$23,"〇"),COUNTIF(C$14:C$23,"出"),COUNTIF(C$14:C$23,"早"),COUNTIF(C$14:C$23,"遅"),COUNTIF(C$14:C$23,"E"),COUNTIF(C$14:C$23,"8時"),COUNTIF(C$14:C$23,"ハヤ"),COUNTIF(C$14:C$23,"オソ"),COUNTIF(C$14:C$23,"イブ"))</f>
        <v>0</v>
      </c>
      <c r="D55" s="10">
        <f>SUM(COUNTIF(D$14:D$23,"○"),COUNTIF(D$14:D$23,"〇"),COUNTIF(D$14:D$23,"出"),COUNTIF(D$14:D$23,"早"),COUNTIF(D$14:D$23,"遅"),COUNTIF(D$14:D$23,"E"),COUNTIF(D$14:D$23,"8時"),COUNTIF(D$14:D$23,"ハヤ"),COUNTIF(D$14:D$23,"オソ"),COUNTIF(D$14:D$23,"イブ"))</f>
        <v>0</v>
      </c>
      <c r="E55" s="10">
        <f>SUM(COUNTIF(E$14:E$23,"○"),COUNTIF(E$14:E$23,"〇"),COUNTIF(E$14:E$23,"出"),COUNTIF(E$14:E$23,"早"),COUNTIF(E$14:E$23,"遅"),COUNTIF(E$14:E$23,"E"),COUNTIF(E$14:E$23,"8時"),COUNTIF(E$14:E$23,"ハヤ"),COUNTIF(E$14:E$23,"オソ"),COUNTIF(E$14:E$23,"イブ"))</f>
        <v>0</v>
      </c>
      <c r="F55" s="10">
        <f>SUM(COUNTIF(F$14:F$23,"○"),COUNTIF(F$14:F$23,"〇"),COUNTIF(F$14:F$23,"出"),COUNTIF(F$14:F$23,"早"),COUNTIF(F$14:F$23,"遅"),COUNTIF(F$14:F$23,"E"),COUNTIF(F$14:F$23,"8時"),COUNTIF(F$14:F$23,"ハヤ"),COUNTIF(F$14:F$23,"オソ"),COUNTIF(F$14:F$23,"イブ"))</f>
        <v>0</v>
      </c>
      <c r="G55" s="10">
        <f>SUM(COUNTIF(G$14:G$23,"○"),COUNTIF(G$14:G$23,"〇"),COUNTIF(G$14:G$23,"出"),COUNTIF(G$14:G$23,"早"),COUNTIF(G$14:G$23,"遅"),COUNTIF(G$14:G$23,"E"),COUNTIF(G$14:G$23,"8時"),COUNTIF(G$14:G$23,"ハヤ"),COUNTIF(G$14:G$23,"オソ"),COUNTIF(G$14:G$23,"イブ"))</f>
        <v>0</v>
      </c>
      <c r="H55" s="10">
        <f>SUM(COUNTIF(H$14:H$23,"○"),COUNTIF(H$14:H$23,"〇"),COUNTIF(H$14:H$23,"出"),COUNTIF(H$14:H$23,"早"),COUNTIF(H$14:H$23,"遅"),COUNTIF(H$14:H$23,"E"),COUNTIF(H$14:H$23,"8時"),COUNTIF(H$14:H$23,"ハヤ"),COUNTIF(H$14:H$23,"オソ"),COUNTIF(H$14:H$23,"イブ"))</f>
        <v>0</v>
      </c>
      <c r="I55" s="10">
        <f>SUM(COUNTIF(I$14:I$23,"○"),COUNTIF(I$14:I$23,"〇"),COUNTIF(I$14:I$23,"出"),COUNTIF(I$14:I$23,"早"),COUNTIF(I$14:I$23,"遅"),COUNTIF(I$14:I$23,"E"),COUNTIF(I$14:I$23,"8時"),COUNTIF(I$14:I$23,"ハヤ"),COUNTIF(I$14:I$23,"オソ"),COUNTIF(I$14:I$23,"イブ"))</f>
        <v>0</v>
      </c>
      <c r="J55" s="10">
        <f>SUM(COUNTIF(J$14:J$23,"○"),COUNTIF(J$14:J$23,"〇"),COUNTIF(J$14:J$23,"出"),COUNTIF(J$14:J$23,"早"),COUNTIF(J$14:J$23,"遅"),COUNTIF(J$14:J$23,"E"),COUNTIF(J$14:J$23,"8時"),COUNTIF(J$14:J$23,"ハヤ"),COUNTIF(J$14:J$23,"オソ"),COUNTIF(J$14:J$23,"イブ"))</f>
        <v>0</v>
      </c>
      <c r="K55" s="10">
        <f>SUM(COUNTIF(K$14:K$23,"○"),COUNTIF(K$14:K$23,"〇"),COUNTIF(K$14:K$23,"出"),COUNTIF(K$14:K$23,"早"),COUNTIF(K$14:K$23,"遅"),COUNTIF(K$14:K$23,"E"),COUNTIF(K$14:K$23,"8時"),COUNTIF(K$14:K$23,"ハヤ"),COUNTIF(K$14:K$23,"オソ"),COUNTIF(K$14:K$23,"イブ"))</f>
        <v>0</v>
      </c>
      <c r="L55" s="10">
        <f>SUM(COUNTIF(L$14:L$23,"○"),COUNTIF(L$14:L$23,"〇"),COUNTIF(L$14:L$23,"出"),COUNTIF(L$14:L$23,"早"),COUNTIF(L$14:L$23,"遅"),COUNTIF(L$14:L$23,"E"),COUNTIF(L$14:L$23,"8時"),COUNTIF(L$14:L$23,"ハヤ"),COUNTIF(L$14:L$23,"オソ"),COUNTIF(L$14:L$23,"イブ"))</f>
        <v>0</v>
      </c>
      <c r="M55" s="10">
        <f>SUM(COUNTIF(M$14:M$23,"○"),COUNTIF(M$14:M$23,"〇"),COUNTIF(M$14:M$23,"出"),COUNTIF(M$14:M$23,"早"),COUNTIF(M$14:M$23,"遅"),COUNTIF(M$14:M$23,"E"),COUNTIF(M$14:M$23,"8時"),COUNTIF(M$14:M$23,"ハヤ"),COUNTIF(M$14:M$23,"オソ"),COUNTIF(M$14:M$23,"イブ"))</f>
        <v>0</v>
      </c>
      <c r="N55" s="10">
        <f>SUM(COUNTIF(N$14:N$23,"○"),COUNTIF(N$14:N$23,"〇"),COUNTIF(N$14:N$23,"出"),COUNTIF(N$14:N$23,"早"),COUNTIF(N$14:N$23,"遅"),COUNTIF(N$14:N$23,"E"),COUNTIF(N$14:N$23,"8時"),COUNTIF(N$14:N$23,"ハヤ"),COUNTIF(N$14:N$23,"オソ"),COUNTIF(N$14:N$23,"イブ"))</f>
        <v>0</v>
      </c>
      <c r="O55" s="10">
        <f>SUM(COUNTIF(O$14:O$23,"○"),COUNTIF(O$14:O$23,"〇"),COUNTIF(O$14:O$23,"出"),COUNTIF(O$14:O$23,"早"),COUNTIF(O$14:O$23,"遅"),COUNTIF(O$14:O$23,"E"),COUNTIF(O$14:O$23,"8時"),COUNTIF(O$14:O$23,"ハヤ"),COUNTIF(O$14:O$23,"オソ"),COUNTIF(O$14:O$23,"イブ"))</f>
        <v>0</v>
      </c>
      <c r="P55" s="10">
        <f>SUM(COUNTIF(P$14:P$23,"○"),COUNTIF(P$14:P$23,"〇"),COUNTIF(P$14:P$23,"出"),COUNTIF(P$14:P$23,"早"),COUNTIF(P$14:P$23,"遅"),COUNTIF(P$14:P$23,"E"),COUNTIF(P$14:P$23,"8時"),COUNTIF(P$14:P$23,"ハヤ"),COUNTIF(P$14:P$23,"オソ"),COUNTIF(P$14:P$23,"イブ"))</f>
        <v>0</v>
      </c>
      <c r="Q55" s="10">
        <f>SUM(COUNTIF(Q$14:Q$23,"○"),COUNTIF(Q$14:Q$23,"〇"),COUNTIF(Q$14:Q$23,"出"),COUNTIF(Q$14:Q$23,"早"),COUNTIF(Q$14:Q$23,"遅"),COUNTIF(Q$14:Q$23,"E"),COUNTIF(Q$14:Q$23,"8時"),COUNTIF(Q$14:Q$23,"ハヤ"),COUNTIF(Q$14:Q$23,"オソ"),COUNTIF(Q$14:Q$23,"イブ"))</f>
        <v>0</v>
      </c>
      <c r="R55" s="10">
        <f>SUM(COUNTIF(R$14:R$23,"○"),COUNTIF(R$14:R$23,"〇"),COUNTIF(R$14:R$23,"出"),COUNTIF(R$14:R$23,"早"),COUNTIF(R$14:R$23,"遅"),COUNTIF(R$14:R$23,"E"),COUNTIF(R$14:R$23,"8時"),COUNTIF(R$14:R$23,"ハヤ"),COUNTIF(R$14:R$23,"オソ"),COUNTIF(R$14:R$23,"イブ"))</f>
        <v>0</v>
      </c>
      <c r="S55" s="10">
        <f>SUM(COUNTIF(S$14:S$23,"○"),COUNTIF(S$14:S$23,"〇"),COUNTIF(S$14:S$23,"出"),COUNTIF(S$14:S$23,"早"),COUNTIF(S$14:S$23,"遅"),COUNTIF(S$14:S$23,"E"),COUNTIF(S$14:S$23,"8時"),COUNTIF(S$14:S$23,"ハヤ"),COUNTIF(S$14:S$23,"オソ"),COUNTIF(S$14:S$23,"イブ"))</f>
        <v>0</v>
      </c>
      <c r="T55" s="10">
        <f>SUM(COUNTIF(T$14:T$23,"○"),COUNTIF(T$14:T$23,"〇"),COUNTIF(T$14:T$23,"出"),COUNTIF(T$14:T$23,"早"),COUNTIF(T$14:T$23,"遅"),COUNTIF(T$14:T$23,"E"),COUNTIF(T$14:T$23,"8時"),COUNTIF(T$14:T$23,"ハヤ"),COUNTIF(T$14:T$23,"オソ"),COUNTIF(T$14:T$23,"イブ"))</f>
        <v>0</v>
      </c>
      <c r="U55" s="10">
        <f>SUM(COUNTIF(U$14:U$23,"○"),COUNTIF(U$14:U$23,"〇"),COUNTIF(U$14:U$23,"出"),COUNTIF(U$14:U$23,"早"),COUNTIF(U$14:U$23,"遅"),COUNTIF(U$14:U$23,"E"),COUNTIF(U$14:U$23,"8時"),COUNTIF(U$14:U$23,"ハヤ"),COUNTIF(U$14:U$23,"オソ"),COUNTIF(U$14:U$23,"イブ"))</f>
        <v>0</v>
      </c>
      <c r="V55" s="10">
        <f>SUM(COUNTIF(V$14:V$23,"○"),COUNTIF(V$14:V$23,"〇"),COUNTIF(V$14:V$23,"出"),COUNTIF(V$14:V$23,"早"),COUNTIF(V$14:V$23,"遅"),COUNTIF(V$14:V$23,"E"),COUNTIF(V$14:V$23,"8時"),COUNTIF(V$14:V$23,"ハヤ"),COUNTIF(V$14:V$23,"オソ"),COUNTIF(V$14:V$23,"イブ"))</f>
        <v>0</v>
      </c>
      <c r="W55" s="10">
        <f>SUM(COUNTIF(W$14:W$23,"○"),COUNTIF(W$14:W$23,"〇"),COUNTIF(W$14:W$23,"出"),COUNTIF(W$14:W$23,"早"),COUNTIF(W$14:W$23,"遅"),COUNTIF(W$14:W$23,"E"),COUNTIF(W$14:W$23,"8時"),COUNTIF(W$14:W$23,"ハヤ"),COUNTIF(W$14:W$23,"オソ"),COUNTIF(W$14:W$23,"イブ"))</f>
        <v>0</v>
      </c>
      <c r="X55" s="10">
        <f>SUM(COUNTIF(X$14:X$23,"○"),COUNTIF(X$14:X$23,"〇"),COUNTIF(X$14:X$23,"出"),COUNTIF(X$14:X$23,"早"),COUNTIF(X$14:X$23,"遅"),COUNTIF(X$14:X$23,"E"),COUNTIF(X$14:X$23,"8時"),COUNTIF(X$14:X$23,"ハヤ"),COUNTIF(X$14:X$23,"オソ"),COUNTIF(X$14:X$23,"イブ"))</f>
        <v>0</v>
      </c>
      <c r="Y55" s="10">
        <f>SUM(COUNTIF(Y$14:Y$23,"○"),COUNTIF(Y$14:Y$23,"〇"),COUNTIF(Y$14:Y$23,"出"),COUNTIF(Y$14:Y$23,"早"),COUNTIF(Y$14:Y$23,"遅"),COUNTIF(Y$14:Y$23,"E"),COUNTIF(Y$14:Y$23,"8時"),COUNTIF(Y$14:Y$23,"ハヤ"),COUNTIF(Y$14:Y$23,"オソ"),COUNTIF(Y$14:Y$23,"イブ"))</f>
        <v>0</v>
      </c>
      <c r="Z55" s="10">
        <f>SUM(COUNTIF(Z$14:Z$23,"○"),COUNTIF(Z$14:Z$23,"〇"),COUNTIF(Z$14:Z$23,"出"),COUNTIF(Z$14:Z$23,"早"),COUNTIF(Z$14:Z$23,"遅"),COUNTIF(Z$14:Z$23,"E"),COUNTIF(Z$14:Z$23,"8時"),COUNTIF(Z$14:Z$23,"ハヤ"),COUNTIF(Z$14:Z$23,"オソ"),COUNTIF(Z$14:Z$23,"イブ"))</f>
        <v>0</v>
      </c>
      <c r="AA55" s="10">
        <f>SUM(COUNTIF(AA$14:AA$23,"○"),COUNTIF(AA$14:AA$23,"〇"),COUNTIF(AA$14:AA$23,"出"),COUNTIF(AA$14:AA$23,"早"),COUNTIF(AA$14:AA$23,"遅"),COUNTIF(AA$14:AA$23,"E"),COUNTIF(AA$14:AA$23,"8時"),COUNTIF(AA$14:AA$23,"ハヤ"),COUNTIF(AA$14:AA$23,"オソ"),COUNTIF(AA$14:AA$23,"イブ"))</f>
        <v>0</v>
      </c>
      <c r="AB55" s="10">
        <f>SUM(COUNTIF(AB$14:AB$23,"○"),COUNTIF(AB$14:AB$23,"〇"),COUNTIF(AB$14:AB$23,"出"),COUNTIF(AB$14:AB$23,"早"),COUNTIF(AB$14:AB$23,"遅"),COUNTIF(AB$14:AB$23,"E"),COUNTIF(AB$14:AB$23,"8時"),COUNTIF(AB$14:AB$23,"ハヤ"),COUNTIF(AB$14:AB$23,"オソ"),COUNTIF(AB$14:AB$23,"イブ"))</f>
        <v>0</v>
      </c>
      <c r="AC55" s="10">
        <f>SUM(COUNTIF(AC$14:AC$23,"○"),COUNTIF(AC$14:AC$23,"〇"),COUNTIF(AC$14:AC$23,"出"),COUNTIF(AC$14:AC$23,"早"),COUNTIF(AC$14:AC$23,"遅"),COUNTIF(AC$14:AC$23,"E"),COUNTIF(AC$14:AC$23,"8時"),COUNTIF(AC$14:AC$23,"ハヤ"),COUNTIF(AC$14:AC$23,"オソ"),COUNTIF(AC$14:AC$23,"イブ"))</f>
        <v>0</v>
      </c>
      <c r="AD55" s="10">
        <f>SUM(B55:AC55)</f>
        <v>0</v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-</t>
        </is>
      </c>
      <c r="AI55" s="10" t="inlineStr">
        <is>
          <t>-</t>
        </is>
      </c>
      <c r="AJ55" s="10" t="inlineStr">
        <is>
          <t>-</t>
        </is>
      </c>
      <c r="AK55" s="10" t="inlineStr">
        <is>
          <t>-</t>
        </is>
      </c>
    </row>
    <row r="56" ht="20" customHeight="1">
      <c r="A56" s="11" t="inlineStr">
        <is>
          <t>PT B 出勤</t>
        </is>
      </c>
      <c r="B56" s="11">
        <f>SUM(COUNTIF(B$24:B$33,"○"),COUNTIF(B$24:B$33,"〇"),COUNTIF(B$24:B$33,"出"),COUNTIF(B$24:B$33,"早"),COUNTIF(B$24:B$33,"遅"),COUNTIF(B$24:B$33,"E"),COUNTIF(B$24:B$33,"8時"),COUNTIF(B$24:B$33,"ハヤ"),COUNTIF(B$24:B$33,"オソ"),COUNTIF(B$24:B$33,"イブ"))</f>
        <v>0</v>
      </c>
      <c r="C56" s="11">
        <f>SUM(COUNTIF(C$24:C$33,"○"),COUNTIF(C$24:C$33,"〇"),COUNTIF(C$24:C$33,"出"),COUNTIF(C$24:C$33,"早"),COUNTIF(C$24:C$33,"遅"),COUNTIF(C$24:C$33,"E"),COUNTIF(C$24:C$33,"8時"),COUNTIF(C$24:C$33,"ハヤ"),COUNTIF(C$24:C$33,"オソ"),COUNTIF(C$24:C$33,"イブ"))</f>
        <v>0</v>
      </c>
      <c r="D56" s="11">
        <f>SUM(COUNTIF(D$24:D$33,"○"),COUNTIF(D$24:D$33,"〇"),COUNTIF(D$24:D$33,"出"),COUNTIF(D$24:D$33,"早"),COUNTIF(D$24:D$33,"遅"),COUNTIF(D$24:D$33,"E"),COUNTIF(D$24:D$33,"8時"),COUNTIF(D$24:D$33,"ハヤ"),COUNTIF(D$24:D$33,"オソ"),COUNTIF(D$24:D$33,"イブ"))</f>
        <v>0</v>
      </c>
      <c r="E56" s="11">
        <f>SUM(COUNTIF(E$24:E$33,"○"),COUNTIF(E$24:E$33,"〇"),COUNTIF(E$24:E$33,"出"),COUNTIF(E$24:E$33,"早"),COUNTIF(E$24:E$33,"遅"),COUNTIF(E$24:E$33,"E"),COUNTIF(E$24:E$33,"8時"),COUNTIF(E$24:E$33,"ハヤ"),COUNTIF(E$24:E$33,"オソ"),COUNTIF(E$24:E$33,"イブ"))</f>
        <v>0</v>
      </c>
      <c r="F56" s="11">
        <f>SUM(COUNTIF(F$24:F$33,"○"),COUNTIF(F$24:F$33,"〇"),COUNTIF(F$24:F$33,"出"),COUNTIF(F$24:F$33,"早"),COUNTIF(F$24:F$33,"遅"),COUNTIF(F$24:F$33,"E"),COUNTIF(F$24:F$33,"8時"),COUNTIF(F$24:F$33,"ハヤ"),COUNTIF(F$24:F$33,"オソ"),COUNTIF(F$24:F$33,"イブ"))</f>
        <v>0</v>
      </c>
      <c r="G56" s="11">
        <f>SUM(COUNTIF(G$24:G$33,"○"),COUNTIF(G$24:G$33,"〇"),COUNTIF(G$24:G$33,"出"),COUNTIF(G$24:G$33,"早"),COUNTIF(G$24:G$33,"遅"),COUNTIF(G$24:G$33,"E"),COUNTIF(G$24:G$33,"8時"),COUNTIF(G$24:G$33,"ハヤ"),COUNTIF(G$24:G$33,"オソ"),COUNTIF(G$24:G$33,"イブ"))</f>
        <v>0</v>
      </c>
      <c r="H56" s="11">
        <f>SUM(COUNTIF(H$24:H$33,"○"),COUNTIF(H$24:H$33,"〇"),COUNTIF(H$24:H$33,"出"),COUNTIF(H$24:H$33,"早"),COUNTIF(H$24:H$33,"遅"),COUNTIF(H$24:H$33,"E"),COUNTIF(H$24:H$33,"8時"),COUNTIF(H$24:H$33,"ハヤ"),COUNTIF(H$24:H$33,"オソ"),COUNTIF(H$24:H$33,"イブ"))</f>
        <v>0</v>
      </c>
      <c r="I56" s="11">
        <f>SUM(COUNTIF(I$24:I$33,"○"),COUNTIF(I$24:I$33,"〇"),COUNTIF(I$24:I$33,"出"),COUNTIF(I$24:I$33,"早"),COUNTIF(I$24:I$33,"遅"),COUNTIF(I$24:I$33,"E"),COUNTIF(I$24:I$33,"8時"),COUNTIF(I$24:I$33,"ハヤ"),COUNTIF(I$24:I$33,"オソ"),COUNTIF(I$24:I$33,"イブ"))</f>
        <v>0</v>
      </c>
      <c r="J56" s="11">
        <f>SUM(COUNTIF(J$24:J$33,"○"),COUNTIF(J$24:J$33,"〇"),COUNTIF(J$24:J$33,"出"),COUNTIF(J$24:J$33,"早"),COUNTIF(J$24:J$33,"遅"),COUNTIF(J$24:J$33,"E"),COUNTIF(J$24:J$33,"8時"),COUNTIF(J$24:J$33,"ハヤ"),COUNTIF(J$24:J$33,"オソ"),COUNTIF(J$24:J$33,"イブ"))</f>
        <v>0</v>
      </c>
      <c r="K56" s="11">
        <f>SUM(COUNTIF(K$24:K$33,"○"),COUNTIF(K$24:K$33,"〇"),COUNTIF(K$24:K$33,"出"),COUNTIF(K$24:K$33,"早"),COUNTIF(K$24:K$33,"遅"),COUNTIF(K$24:K$33,"E"),COUNTIF(K$24:K$33,"8時"),COUNTIF(K$24:K$33,"ハヤ"),COUNTIF(K$24:K$33,"オソ"),COUNTIF(K$24:K$33,"イブ"))</f>
        <v>0</v>
      </c>
      <c r="L56" s="11">
        <f>SUM(COUNTIF(L$24:L$33,"○"),COUNTIF(L$24:L$33,"〇"),COUNTIF(L$24:L$33,"出"),COUNTIF(L$24:L$33,"早"),COUNTIF(L$24:L$33,"遅"),COUNTIF(L$24:L$33,"E"),COUNTIF(L$24:L$33,"8時"),COUNTIF(L$24:L$33,"ハヤ"),COUNTIF(L$24:L$33,"オソ"),COUNTIF(L$24:L$33,"イブ"))</f>
        <v>0</v>
      </c>
      <c r="M56" s="11">
        <f>SUM(COUNTIF(M$24:M$33,"○"),COUNTIF(M$24:M$33,"〇"),COUNTIF(M$24:M$33,"出"),COUNTIF(M$24:M$33,"早"),COUNTIF(M$24:M$33,"遅"),COUNTIF(M$24:M$33,"E"),COUNTIF(M$24:M$33,"8時"),COUNTIF(M$24:M$33,"ハヤ"),COUNTIF(M$24:M$33,"オソ"),COUNTIF(M$24:M$33,"イブ"))</f>
        <v>0</v>
      </c>
      <c r="N56" s="11">
        <f>SUM(COUNTIF(N$24:N$33,"○"),COUNTIF(N$24:N$33,"〇"),COUNTIF(N$24:N$33,"出"),COUNTIF(N$24:N$33,"早"),COUNTIF(N$24:N$33,"遅"),COUNTIF(N$24:N$33,"E"),COUNTIF(N$24:N$33,"8時"),COUNTIF(N$24:N$33,"ハヤ"),COUNTIF(N$24:N$33,"オソ"),COUNTIF(N$24:N$33,"イブ"))</f>
        <v>0</v>
      </c>
      <c r="O56" s="11">
        <f>SUM(COUNTIF(O$24:O$33,"○"),COUNTIF(O$24:O$33,"〇"),COUNTIF(O$24:O$33,"出"),COUNTIF(O$24:O$33,"早"),COUNTIF(O$24:O$33,"遅"),COUNTIF(O$24:O$33,"E"),COUNTIF(O$24:O$33,"8時"),COUNTIF(O$24:O$33,"ハヤ"),COUNTIF(O$24:O$33,"オソ"),COUNTIF(O$24:O$33,"イブ"))</f>
        <v>0</v>
      </c>
      <c r="P56" s="11">
        <f>SUM(COUNTIF(P$24:P$33,"○"),COUNTIF(P$24:P$33,"〇"),COUNTIF(P$24:P$33,"出"),COUNTIF(P$24:P$33,"早"),COUNTIF(P$24:P$33,"遅"),COUNTIF(P$24:P$33,"E"),COUNTIF(P$24:P$33,"8時"),COUNTIF(P$24:P$33,"ハヤ"),COUNTIF(P$24:P$33,"オソ"),COUNTIF(P$24:P$33,"イブ"))</f>
        <v>0</v>
      </c>
      <c r="Q56" s="11">
        <f>SUM(COUNTIF(Q$24:Q$33,"○"),COUNTIF(Q$24:Q$33,"〇"),COUNTIF(Q$24:Q$33,"出"),COUNTIF(Q$24:Q$33,"早"),COUNTIF(Q$24:Q$33,"遅"),COUNTIF(Q$24:Q$33,"E"),COUNTIF(Q$24:Q$33,"8時"),COUNTIF(Q$24:Q$33,"ハヤ"),COUNTIF(Q$24:Q$33,"オソ"),COUNTIF(Q$24:Q$33,"イブ"))</f>
        <v>0</v>
      </c>
      <c r="R56" s="11">
        <f>SUM(COUNTIF(R$24:R$33,"○"),COUNTIF(R$24:R$33,"〇"),COUNTIF(R$24:R$33,"出"),COUNTIF(R$24:R$33,"早"),COUNTIF(R$24:R$33,"遅"),COUNTIF(R$24:R$33,"E"),COUNTIF(R$24:R$33,"8時"),COUNTIF(R$24:R$33,"ハヤ"),COUNTIF(R$24:R$33,"オソ"),COUNTIF(R$24:R$33,"イブ"))</f>
        <v>0</v>
      </c>
      <c r="S56" s="11">
        <f>SUM(COUNTIF(S$24:S$33,"○"),COUNTIF(S$24:S$33,"〇"),COUNTIF(S$24:S$33,"出"),COUNTIF(S$24:S$33,"早"),COUNTIF(S$24:S$33,"遅"),COUNTIF(S$24:S$33,"E"),COUNTIF(S$24:S$33,"8時"),COUNTIF(S$24:S$33,"ハヤ"),COUNTIF(S$24:S$33,"オソ"),COUNTIF(S$24:S$33,"イブ"))</f>
        <v>0</v>
      </c>
      <c r="T56" s="11">
        <f>SUM(COUNTIF(T$24:T$33,"○"),COUNTIF(T$24:T$33,"〇"),COUNTIF(T$24:T$33,"出"),COUNTIF(T$24:T$33,"早"),COUNTIF(T$24:T$33,"遅"),COUNTIF(T$24:T$33,"E"),COUNTIF(T$24:T$33,"8時"),COUNTIF(T$24:T$33,"ハヤ"),COUNTIF(T$24:T$33,"オソ"),COUNTIF(T$24:T$33,"イブ"))</f>
        <v>0</v>
      </c>
      <c r="U56" s="11">
        <f>SUM(COUNTIF(U$24:U$33,"○"),COUNTIF(U$24:U$33,"〇"),COUNTIF(U$24:U$33,"出"),COUNTIF(U$24:U$33,"早"),COUNTIF(U$24:U$33,"遅"),COUNTIF(U$24:U$33,"E"),COUNTIF(U$24:U$33,"8時"),COUNTIF(U$24:U$33,"ハヤ"),COUNTIF(U$24:U$33,"オソ"),COUNTIF(U$24:U$33,"イブ"))</f>
        <v>0</v>
      </c>
      <c r="V56" s="11">
        <f>SUM(COUNTIF(V$24:V$33,"○"),COUNTIF(V$24:V$33,"〇"),COUNTIF(V$24:V$33,"出"),COUNTIF(V$24:V$33,"早"),COUNTIF(V$24:V$33,"遅"),COUNTIF(V$24:V$33,"E"),COUNTIF(V$24:V$33,"8時"),COUNTIF(V$24:V$33,"ハヤ"),COUNTIF(V$24:V$33,"オソ"),COUNTIF(V$24:V$33,"イブ"))</f>
        <v>0</v>
      </c>
      <c r="W56" s="11">
        <f>SUM(COUNTIF(W$24:W$33,"○"),COUNTIF(W$24:W$33,"〇"),COUNTIF(W$24:W$33,"出"),COUNTIF(W$24:W$33,"早"),COUNTIF(W$24:W$33,"遅"),COUNTIF(W$24:W$33,"E"),COUNTIF(W$24:W$33,"8時"),COUNTIF(W$24:W$33,"ハヤ"),COUNTIF(W$24:W$33,"オソ"),COUNTIF(W$24:W$33,"イブ"))</f>
        <v>0</v>
      </c>
      <c r="X56" s="11">
        <f>SUM(COUNTIF(X$24:X$33,"○"),COUNTIF(X$24:X$33,"〇"),COUNTIF(X$24:X$33,"出"),COUNTIF(X$24:X$33,"早"),COUNTIF(X$24:X$33,"遅"),COUNTIF(X$24:X$33,"E"),COUNTIF(X$24:X$33,"8時"),COUNTIF(X$24:X$33,"ハヤ"),COUNTIF(X$24:X$33,"オソ"),COUNTIF(X$24:X$33,"イブ"))</f>
        <v>0</v>
      </c>
      <c r="Y56" s="11">
        <f>SUM(COUNTIF(Y$24:Y$33,"○"),COUNTIF(Y$24:Y$33,"〇"),COUNTIF(Y$24:Y$33,"出"),COUNTIF(Y$24:Y$33,"早"),COUNTIF(Y$24:Y$33,"遅"),COUNTIF(Y$24:Y$33,"E"),COUNTIF(Y$24:Y$33,"8時"),COUNTIF(Y$24:Y$33,"ハヤ"),COUNTIF(Y$24:Y$33,"オソ"),COUNTIF(Y$24:Y$33,"イブ"))</f>
        <v>0</v>
      </c>
      <c r="Z56" s="11">
        <f>SUM(COUNTIF(Z$24:Z$33,"○"),COUNTIF(Z$24:Z$33,"〇"),COUNTIF(Z$24:Z$33,"出"),COUNTIF(Z$24:Z$33,"早"),COUNTIF(Z$24:Z$33,"遅"),COUNTIF(Z$24:Z$33,"E"),COUNTIF(Z$24:Z$33,"8時"),COUNTIF(Z$24:Z$33,"ハヤ"),COUNTIF(Z$24:Z$33,"オソ"),COUNTIF(Z$24:Z$33,"イブ"))</f>
        <v>0</v>
      </c>
      <c r="AA56" s="11">
        <f>SUM(COUNTIF(AA$24:AA$33,"○"),COUNTIF(AA$24:AA$33,"〇"),COUNTIF(AA$24:AA$33,"出"),COUNTIF(AA$24:AA$33,"早"),COUNTIF(AA$24:AA$33,"遅"),COUNTIF(AA$24:AA$33,"E"),COUNTIF(AA$24:AA$33,"8時"),COUNTIF(AA$24:AA$33,"ハヤ"),COUNTIF(AA$24:AA$33,"オソ"),COUNTIF(AA$24:AA$33,"イブ"))</f>
        <v>0</v>
      </c>
      <c r="AB56" s="11">
        <f>SUM(COUNTIF(AB$24:AB$33,"○"),COUNTIF(AB$24:AB$33,"〇"),COUNTIF(AB$24:AB$33,"出"),COUNTIF(AB$24:AB$33,"早"),COUNTIF(AB$24:AB$33,"遅"),COUNTIF(AB$24:AB$33,"E"),COUNTIF(AB$24:AB$33,"8時"),COUNTIF(AB$24:AB$33,"ハヤ"),COUNTIF(AB$24:AB$33,"オソ"),COUNTIF(AB$24:AB$33,"イブ"))</f>
        <v>0</v>
      </c>
      <c r="AC56" s="11">
        <f>SUM(COUNTIF(AC$24:AC$33,"○"),COUNTIF(AC$24:AC$33,"〇"),COUNTIF(AC$24:AC$33,"出"),COUNTIF(AC$24:AC$33,"早"),COUNTIF(AC$24:AC$33,"遅"),COUNTIF(AC$24:AC$33,"E"),COUNTIF(AC$24:AC$33,"8時"),COUNTIF(AC$24:AC$33,"ハヤ"),COUNTIF(AC$24:AC$33,"オソ"),COUNTIF(AC$24:AC$33,"イブ"))</f>
        <v>0</v>
      </c>
      <c r="AD56" s="11">
        <f>SUM(B56:AC56)</f>
        <v>0</v>
      </c>
      <c r="AE56" s="11" t="inlineStr">
        <is>
          <t>-</t>
        </is>
      </c>
      <c r="AF56" s="11" t="inlineStr">
        <is>
          <t>-</t>
        </is>
      </c>
      <c r="AG56" s="11" t="inlineStr">
        <is>
          <t>-</t>
        </is>
      </c>
      <c r="AH56" s="11" t="inlineStr">
        <is>
          <t>-</t>
        </is>
      </c>
      <c r="AI56" s="11" t="inlineStr">
        <is>
          <t>-</t>
        </is>
      </c>
      <c r="AJ56" s="11" t="inlineStr">
        <is>
          <t>-</t>
        </is>
      </c>
      <c r="AK56" s="11" t="inlineStr">
        <is>
          <t>-</t>
        </is>
      </c>
    </row>
    <row r="57" ht="20" customHeight="1">
      <c r="A57" s="11" t="inlineStr">
        <is>
          <t>OT B 出勤</t>
        </is>
      </c>
      <c r="B57" s="11">
        <f>SUM(COUNTIF(B$34:B$43,"○"),COUNTIF(B$34:B$43,"〇"),COUNTIF(B$34:B$43,"出"),COUNTIF(B$34:B$43,"早"),COUNTIF(B$34:B$43,"遅"),COUNTIF(B$34:B$43,"E"),COUNTIF(B$34:B$43,"8時"),COUNTIF(B$34:B$43,"ハヤ"),COUNTIF(B$34:B$43,"オソ"),COUNTIF(B$34:B$43,"イブ"))</f>
        <v>0</v>
      </c>
      <c r="C57" s="11">
        <f>SUM(COUNTIF(C$34:C$43,"○"),COUNTIF(C$34:C$43,"〇"),COUNTIF(C$34:C$43,"出"),COUNTIF(C$34:C$43,"早"),COUNTIF(C$34:C$43,"遅"),COUNTIF(C$34:C$43,"E"),COUNTIF(C$34:C$43,"8時"),COUNTIF(C$34:C$43,"ハヤ"),COUNTIF(C$34:C$43,"オソ"),COUNTIF(C$34:C$43,"イブ"))</f>
        <v>0</v>
      </c>
      <c r="D57" s="11">
        <f>SUM(COUNTIF(D$34:D$43,"○"),COUNTIF(D$34:D$43,"〇"),COUNTIF(D$34:D$43,"出"),COUNTIF(D$34:D$43,"早"),COUNTIF(D$34:D$43,"遅"),COUNTIF(D$34:D$43,"E"),COUNTIF(D$34:D$43,"8時"),COUNTIF(D$34:D$43,"ハヤ"),COUNTIF(D$34:D$43,"オソ"),COUNTIF(D$34:D$43,"イブ"))</f>
        <v>0</v>
      </c>
      <c r="E57" s="11">
        <f>SUM(COUNTIF(E$34:E$43,"○"),COUNTIF(E$34:E$43,"〇"),COUNTIF(E$34:E$43,"出"),COUNTIF(E$34:E$43,"早"),COUNTIF(E$34:E$43,"遅"),COUNTIF(E$34:E$43,"E"),COUNTIF(E$34:E$43,"8時"),COUNTIF(E$34:E$43,"ハヤ"),COUNTIF(E$34:E$43,"オソ"),COUNTIF(E$34:E$43,"イブ"))</f>
        <v>0</v>
      </c>
      <c r="F57" s="11">
        <f>SUM(COUNTIF(F$34:F$43,"○"),COUNTIF(F$34:F$43,"〇"),COUNTIF(F$34:F$43,"出"),COUNTIF(F$34:F$43,"早"),COUNTIF(F$34:F$43,"遅"),COUNTIF(F$34:F$43,"E"),COUNTIF(F$34:F$43,"8時"),COUNTIF(F$34:F$43,"ハヤ"),COUNTIF(F$34:F$43,"オソ"),COUNTIF(F$34:F$43,"イブ"))</f>
        <v>0</v>
      </c>
      <c r="G57" s="11">
        <f>SUM(COUNTIF(G$34:G$43,"○"),COUNTIF(G$34:G$43,"〇"),COUNTIF(G$34:G$43,"出"),COUNTIF(G$34:G$43,"早"),COUNTIF(G$34:G$43,"遅"),COUNTIF(G$34:G$43,"E"),COUNTIF(G$34:G$43,"8時"),COUNTIF(G$34:G$43,"ハヤ"),COUNTIF(G$34:G$43,"オソ"),COUNTIF(G$34:G$43,"イブ"))</f>
        <v>0</v>
      </c>
      <c r="H57" s="11">
        <f>SUM(COUNTIF(H$34:H$43,"○"),COUNTIF(H$34:H$43,"〇"),COUNTIF(H$34:H$43,"出"),COUNTIF(H$34:H$43,"早"),COUNTIF(H$34:H$43,"遅"),COUNTIF(H$34:H$43,"E"),COUNTIF(H$34:H$43,"8時"),COUNTIF(H$34:H$43,"ハヤ"),COUNTIF(H$34:H$43,"オソ"),COUNTIF(H$34:H$43,"イブ"))</f>
        <v>0</v>
      </c>
      <c r="I57" s="11">
        <f>SUM(COUNTIF(I$34:I$43,"○"),COUNTIF(I$34:I$43,"〇"),COUNTIF(I$34:I$43,"出"),COUNTIF(I$34:I$43,"早"),COUNTIF(I$34:I$43,"遅"),COUNTIF(I$34:I$43,"E"),COUNTIF(I$34:I$43,"8時"),COUNTIF(I$34:I$43,"ハヤ"),COUNTIF(I$34:I$43,"オソ"),COUNTIF(I$34:I$43,"イブ"))</f>
        <v>0</v>
      </c>
      <c r="J57" s="11">
        <f>SUM(COUNTIF(J$34:J$43,"○"),COUNTIF(J$34:J$43,"〇"),COUNTIF(J$34:J$43,"出"),COUNTIF(J$34:J$43,"早"),COUNTIF(J$34:J$43,"遅"),COUNTIF(J$34:J$43,"E"),COUNTIF(J$34:J$43,"8時"),COUNTIF(J$34:J$43,"ハヤ"),COUNTIF(J$34:J$43,"オソ"),COUNTIF(J$34:J$43,"イブ"))</f>
        <v>0</v>
      </c>
      <c r="K57" s="11">
        <f>SUM(COUNTIF(K$34:K$43,"○"),COUNTIF(K$34:K$43,"〇"),COUNTIF(K$34:K$43,"出"),COUNTIF(K$34:K$43,"早"),COUNTIF(K$34:K$43,"遅"),COUNTIF(K$34:K$43,"E"),COUNTIF(K$34:K$43,"8時"),COUNTIF(K$34:K$43,"ハヤ"),COUNTIF(K$34:K$43,"オソ"),COUNTIF(K$34:K$43,"イブ"))</f>
        <v>0</v>
      </c>
      <c r="L57" s="11">
        <f>SUM(COUNTIF(L$34:L$43,"○"),COUNTIF(L$34:L$43,"〇"),COUNTIF(L$34:L$43,"出"),COUNTIF(L$34:L$43,"早"),COUNTIF(L$34:L$43,"遅"),COUNTIF(L$34:L$43,"E"),COUNTIF(L$34:L$43,"8時"),COUNTIF(L$34:L$43,"ハヤ"),COUNTIF(L$34:L$43,"オソ"),COUNTIF(L$34:L$43,"イブ"))</f>
        <v>0</v>
      </c>
      <c r="M57" s="11">
        <f>SUM(COUNTIF(M$34:M$43,"○"),COUNTIF(M$34:M$43,"〇"),COUNTIF(M$34:M$43,"出"),COUNTIF(M$34:M$43,"早"),COUNTIF(M$34:M$43,"遅"),COUNTIF(M$34:M$43,"E"),COUNTIF(M$34:M$43,"8時"),COUNTIF(M$34:M$43,"ハヤ"),COUNTIF(M$34:M$43,"オソ"),COUNTIF(M$34:M$43,"イブ"))</f>
        <v>0</v>
      </c>
      <c r="N57" s="11">
        <f>SUM(COUNTIF(N$34:N$43,"○"),COUNTIF(N$34:N$43,"〇"),COUNTIF(N$34:N$43,"出"),COUNTIF(N$34:N$43,"早"),COUNTIF(N$34:N$43,"遅"),COUNTIF(N$34:N$43,"E"),COUNTIF(N$34:N$43,"8時"),COUNTIF(N$34:N$43,"ハヤ"),COUNTIF(N$34:N$43,"オソ"),COUNTIF(N$34:N$43,"イブ"))</f>
        <v>0</v>
      </c>
      <c r="O57" s="11">
        <f>SUM(COUNTIF(O$34:O$43,"○"),COUNTIF(O$34:O$43,"〇"),COUNTIF(O$34:O$43,"出"),COUNTIF(O$34:O$43,"早"),COUNTIF(O$34:O$43,"遅"),COUNTIF(O$34:O$43,"E"),COUNTIF(O$34:O$43,"8時"),COUNTIF(O$34:O$43,"ハヤ"),COUNTIF(O$34:O$43,"オソ"),COUNTIF(O$34:O$43,"イブ"))</f>
        <v>0</v>
      </c>
      <c r="P57" s="11">
        <f>SUM(COUNTIF(P$34:P$43,"○"),COUNTIF(P$34:P$43,"〇"),COUNTIF(P$34:P$43,"出"),COUNTIF(P$34:P$43,"早"),COUNTIF(P$34:P$43,"遅"),COUNTIF(P$34:P$43,"E"),COUNTIF(P$34:P$43,"8時"),COUNTIF(P$34:P$43,"ハヤ"),COUNTIF(P$34:P$43,"オソ"),COUNTIF(P$34:P$43,"イブ"))</f>
        <v>0</v>
      </c>
      <c r="Q57" s="11">
        <f>SUM(COUNTIF(Q$34:Q$43,"○"),COUNTIF(Q$34:Q$43,"〇"),COUNTIF(Q$34:Q$43,"出"),COUNTIF(Q$34:Q$43,"早"),COUNTIF(Q$34:Q$43,"遅"),COUNTIF(Q$34:Q$43,"E"),COUNTIF(Q$34:Q$43,"8時"),COUNTIF(Q$34:Q$43,"ハヤ"),COUNTIF(Q$34:Q$43,"オソ"),COUNTIF(Q$34:Q$43,"イブ"))</f>
        <v>0</v>
      </c>
      <c r="R57" s="11">
        <f>SUM(COUNTIF(R$34:R$43,"○"),COUNTIF(R$34:R$43,"〇"),COUNTIF(R$34:R$43,"出"),COUNTIF(R$34:R$43,"早"),COUNTIF(R$34:R$43,"遅"),COUNTIF(R$34:R$43,"E"),COUNTIF(R$34:R$43,"8時"),COUNTIF(R$34:R$43,"ハヤ"),COUNTIF(R$34:R$43,"オソ"),COUNTIF(R$34:R$43,"イブ"))</f>
        <v>0</v>
      </c>
      <c r="S57" s="11">
        <f>SUM(COUNTIF(S$34:S$43,"○"),COUNTIF(S$34:S$43,"〇"),COUNTIF(S$34:S$43,"出"),COUNTIF(S$34:S$43,"早"),COUNTIF(S$34:S$43,"遅"),COUNTIF(S$34:S$43,"E"),COUNTIF(S$34:S$43,"8時"),COUNTIF(S$34:S$43,"ハヤ"),COUNTIF(S$34:S$43,"オソ"),COUNTIF(S$34:S$43,"イブ"))</f>
        <v>0</v>
      </c>
      <c r="T57" s="11">
        <f>SUM(COUNTIF(T$34:T$43,"○"),COUNTIF(T$34:T$43,"〇"),COUNTIF(T$34:T$43,"出"),COUNTIF(T$34:T$43,"早"),COUNTIF(T$34:T$43,"遅"),COUNTIF(T$34:T$43,"E"),COUNTIF(T$34:T$43,"8時"),COUNTIF(T$34:T$43,"ハヤ"),COUNTIF(T$34:T$43,"オソ"),COUNTIF(T$34:T$43,"イブ"))</f>
        <v>0</v>
      </c>
      <c r="U57" s="11">
        <f>SUM(COUNTIF(U$34:U$43,"○"),COUNTIF(U$34:U$43,"〇"),COUNTIF(U$34:U$43,"出"),COUNTIF(U$34:U$43,"早"),COUNTIF(U$34:U$43,"遅"),COUNTIF(U$34:U$43,"E"),COUNTIF(U$34:U$43,"8時"),COUNTIF(U$34:U$43,"ハヤ"),COUNTIF(U$34:U$43,"オソ"),COUNTIF(U$34:U$43,"イブ"))</f>
        <v>0</v>
      </c>
      <c r="V57" s="11">
        <f>SUM(COUNTIF(V$34:V$43,"○"),COUNTIF(V$34:V$43,"〇"),COUNTIF(V$34:V$43,"出"),COUNTIF(V$34:V$43,"早"),COUNTIF(V$34:V$43,"遅"),COUNTIF(V$34:V$43,"E"),COUNTIF(V$34:V$43,"8時"),COUNTIF(V$34:V$43,"ハヤ"),COUNTIF(V$34:V$43,"オソ"),COUNTIF(V$34:V$43,"イブ"))</f>
        <v>0</v>
      </c>
      <c r="W57" s="11">
        <f>SUM(COUNTIF(W$34:W$43,"○"),COUNTIF(W$34:W$43,"〇"),COUNTIF(W$34:W$43,"出"),COUNTIF(W$34:W$43,"早"),COUNTIF(W$34:W$43,"遅"),COUNTIF(W$34:W$43,"E"),COUNTIF(W$34:W$43,"8時"),COUNTIF(W$34:W$43,"ハヤ"),COUNTIF(W$34:W$43,"オソ"),COUNTIF(W$34:W$43,"イブ"))</f>
        <v>0</v>
      </c>
      <c r="X57" s="11">
        <f>SUM(COUNTIF(X$34:X$43,"○"),COUNTIF(X$34:X$43,"〇"),COUNTIF(X$34:X$43,"出"),COUNTIF(X$34:X$43,"早"),COUNTIF(X$34:X$43,"遅"),COUNTIF(X$34:X$43,"E"),COUNTIF(X$34:X$43,"8時"),COUNTIF(X$34:X$43,"ハヤ"),COUNTIF(X$34:X$43,"オソ"),COUNTIF(X$34:X$43,"イブ"))</f>
        <v>0</v>
      </c>
      <c r="Y57" s="11">
        <f>SUM(COUNTIF(Y$34:Y$43,"○"),COUNTIF(Y$34:Y$43,"〇"),COUNTIF(Y$34:Y$43,"出"),COUNTIF(Y$34:Y$43,"早"),COUNTIF(Y$34:Y$43,"遅"),COUNTIF(Y$34:Y$43,"E"),COUNTIF(Y$34:Y$43,"8時"),COUNTIF(Y$34:Y$43,"ハヤ"),COUNTIF(Y$34:Y$43,"オソ"),COUNTIF(Y$34:Y$43,"イブ"))</f>
        <v>0</v>
      </c>
      <c r="Z57" s="11">
        <f>SUM(COUNTIF(Z$34:Z$43,"○"),COUNTIF(Z$34:Z$43,"〇"),COUNTIF(Z$34:Z$43,"出"),COUNTIF(Z$34:Z$43,"早"),COUNTIF(Z$34:Z$43,"遅"),COUNTIF(Z$34:Z$43,"E"),COUNTIF(Z$34:Z$43,"8時"),COUNTIF(Z$34:Z$43,"ハヤ"),COUNTIF(Z$34:Z$43,"オソ"),COUNTIF(Z$34:Z$43,"イブ"))</f>
        <v>0</v>
      </c>
      <c r="AA57" s="11">
        <f>SUM(COUNTIF(AA$34:AA$43,"○"),COUNTIF(AA$34:AA$43,"〇"),COUNTIF(AA$34:AA$43,"出"),COUNTIF(AA$34:AA$43,"早"),COUNTIF(AA$34:AA$43,"遅"),COUNTIF(AA$34:AA$43,"E"),COUNTIF(AA$34:AA$43,"8時"),COUNTIF(AA$34:AA$43,"ハヤ"),COUNTIF(AA$34:AA$43,"オソ"),COUNTIF(AA$34:AA$43,"イブ"))</f>
        <v>0</v>
      </c>
      <c r="AB57" s="11">
        <f>SUM(COUNTIF(AB$34:AB$43,"○"),COUNTIF(AB$34:AB$43,"〇"),COUNTIF(AB$34:AB$43,"出"),COUNTIF(AB$34:AB$43,"早"),COUNTIF(AB$34:AB$43,"遅"),COUNTIF(AB$34:AB$43,"E"),COUNTIF(AB$34:AB$43,"8時"),COUNTIF(AB$34:AB$43,"ハヤ"),COUNTIF(AB$34:AB$43,"オソ"),COUNTIF(AB$34:AB$43,"イブ"))</f>
        <v>0</v>
      </c>
      <c r="AC57" s="11">
        <f>SUM(COUNTIF(AC$34:AC$43,"○"),COUNTIF(AC$34:AC$43,"〇"),COUNTIF(AC$34:AC$43,"出"),COUNTIF(AC$34:AC$43,"早"),COUNTIF(AC$34:AC$43,"遅"),COUNTIF(AC$34:AC$43,"E"),COUNTIF(AC$34:AC$43,"8時"),COUNTIF(AC$34:AC$43,"ハヤ"),COUNTIF(AC$34:AC$43,"オソ"),COUNTIF(AC$34:AC$43,"イブ"))</f>
        <v>0</v>
      </c>
      <c r="AD57" s="11">
        <f>SUM(B57:AC57)</f>
        <v>0</v>
      </c>
      <c r="AE57" s="11" t="inlineStr">
        <is>
          <t>-</t>
        </is>
      </c>
      <c r="AF57" s="11" t="inlineStr">
        <is>
          <t>-</t>
        </is>
      </c>
      <c r="AG57" s="11" t="inlineStr">
        <is>
          <t>-</t>
        </is>
      </c>
      <c r="AH57" s="11" t="inlineStr">
        <is>
          <t>-</t>
        </is>
      </c>
      <c r="AI57" s="11" t="inlineStr">
        <is>
          <t>-</t>
        </is>
      </c>
      <c r="AJ57" s="11" t="inlineStr">
        <is>
          <t>-</t>
        </is>
      </c>
      <c r="AK57" s="11" t="inlineStr">
        <is>
          <t>-</t>
        </is>
      </c>
    </row>
    <row r="58" ht="20" customHeight="1">
      <c r="A58" s="12" t="inlineStr">
        <is>
          <t>ST 出勤</t>
        </is>
      </c>
      <c r="B58" s="12">
        <f>SUM(COUNTIF(B$44:B$51,"○"),COUNTIF(B$44:B$51,"〇"),COUNTIF(B$44:B$51,"出"),COUNTIF(B$44:B$51,"早"),COUNTIF(B$44:B$51,"遅"),COUNTIF(B$44:B$51,"E"),COUNTIF(B$44:B$51,"8時"),COUNTIF(B$44:B$51,"ハヤ"),COUNTIF(B$44:B$51,"オソ"),COUNTIF(B$44:B$51,"イブ"))</f>
        <v>0</v>
      </c>
      <c r="C58" s="12">
        <f>SUM(COUNTIF(C$44:C$51,"○"),COUNTIF(C$44:C$51,"〇"),COUNTIF(C$44:C$51,"出"),COUNTIF(C$44:C$51,"早"),COUNTIF(C$44:C$51,"遅"),COUNTIF(C$44:C$51,"E"),COUNTIF(C$44:C$51,"8時"),COUNTIF(C$44:C$51,"ハヤ"),COUNTIF(C$44:C$51,"オソ"),COUNTIF(C$44:C$51,"イブ"))</f>
        <v>0</v>
      </c>
      <c r="D58" s="12">
        <f>SUM(COUNTIF(D$44:D$51,"○"),COUNTIF(D$44:D$51,"〇"),COUNTIF(D$44:D$51,"出"),COUNTIF(D$44:D$51,"早"),COUNTIF(D$44:D$51,"遅"),COUNTIF(D$44:D$51,"E"),COUNTIF(D$44:D$51,"8時"),COUNTIF(D$44:D$51,"ハヤ"),COUNTIF(D$44:D$51,"オソ"),COUNTIF(D$44:D$51,"イブ"))</f>
        <v>0</v>
      </c>
      <c r="E58" s="12">
        <f>SUM(COUNTIF(E$44:E$51,"○"),COUNTIF(E$44:E$51,"〇"),COUNTIF(E$44:E$51,"出"),COUNTIF(E$44:E$51,"早"),COUNTIF(E$44:E$51,"遅"),COUNTIF(E$44:E$51,"E"),COUNTIF(E$44:E$51,"8時"),COUNTIF(E$44:E$51,"ハヤ"),COUNTIF(E$44:E$51,"オソ"),COUNTIF(E$44:E$51,"イブ"))</f>
        <v>0</v>
      </c>
      <c r="F58" s="12">
        <f>SUM(COUNTIF(F$44:F$51,"○"),COUNTIF(F$44:F$51,"〇"),COUNTIF(F$44:F$51,"出"),COUNTIF(F$44:F$51,"早"),COUNTIF(F$44:F$51,"遅"),COUNTIF(F$44:F$51,"E"),COUNTIF(F$44:F$51,"8時"),COUNTIF(F$44:F$51,"ハヤ"),COUNTIF(F$44:F$51,"オソ"),COUNTIF(F$44:F$51,"イブ"))</f>
        <v>0</v>
      </c>
      <c r="G58" s="12">
        <f>SUM(COUNTIF(G$44:G$51,"○"),COUNTIF(G$44:G$51,"〇"),COUNTIF(G$44:G$51,"出"),COUNTIF(G$44:G$51,"早"),COUNTIF(G$44:G$51,"遅"),COUNTIF(G$44:G$51,"E"),COUNTIF(G$44:G$51,"8時"),COUNTIF(G$44:G$51,"ハヤ"),COUNTIF(G$44:G$51,"オソ"),COUNTIF(G$44:G$51,"イブ"))</f>
        <v>0</v>
      </c>
      <c r="H58" s="12">
        <f>SUM(COUNTIF(H$44:H$51,"○"),COUNTIF(H$44:H$51,"〇"),COUNTIF(H$44:H$51,"出"),COUNTIF(H$44:H$51,"早"),COUNTIF(H$44:H$51,"遅"),COUNTIF(H$44:H$51,"E"),COUNTIF(H$44:H$51,"8時"),COUNTIF(H$44:H$51,"ハヤ"),COUNTIF(H$44:H$51,"オソ"),COUNTIF(H$44:H$51,"イブ"))</f>
        <v>0</v>
      </c>
      <c r="I58" s="12">
        <f>SUM(COUNTIF(I$44:I$51,"○"),COUNTIF(I$44:I$51,"〇"),COUNTIF(I$44:I$51,"出"),COUNTIF(I$44:I$51,"早"),COUNTIF(I$44:I$51,"遅"),COUNTIF(I$44:I$51,"E"),COUNTIF(I$44:I$51,"8時"),COUNTIF(I$44:I$51,"ハヤ"),COUNTIF(I$44:I$51,"オソ"),COUNTIF(I$44:I$51,"イブ"))</f>
        <v>0</v>
      </c>
      <c r="J58" s="12">
        <f>SUM(COUNTIF(J$44:J$51,"○"),COUNTIF(J$44:J$51,"〇"),COUNTIF(J$44:J$51,"出"),COUNTIF(J$44:J$51,"早"),COUNTIF(J$44:J$51,"遅"),COUNTIF(J$44:J$51,"E"),COUNTIF(J$44:J$51,"8時"),COUNTIF(J$44:J$51,"ハヤ"),COUNTIF(J$44:J$51,"オソ"),COUNTIF(J$44:J$51,"イブ"))</f>
        <v>0</v>
      </c>
      <c r="K58" s="12">
        <f>SUM(COUNTIF(K$44:K$51,"○"),COUNTIF(K$44:K$51,"〇"),COUNTIF(K$44:K$51,"出"),COUNTIF(K$44:K$51,"早"),COUNTIF(K$44:K$51,"遅"),COUNTIF(K$44:K$51,"E"),COUNTIF(K$44:K$51,"8時"),COUNTIF(K$44:K$51,"ハヤ"),COUNTIF(K$44:K$51,"オソ"),COUNTIF(K$44:K$51,"イブ"))</f>
        <v>0</v>
      </c>
      <c r="L58" s="12">
        <f>SUM(COUNTIF(L$44:L$51,"○"),COUNTIF(L$44:L$51,"〇"),COUNTIF(L$44:L$51,"出"),COUNTIF(L$44:L$51,"早"),COUNTIF(L$44:L$51,"遅"),COUNTIF(L$44:L$51,"E"),COUNTIF(L$44:L$51,"8時"),COUNTIF(L$44:L$51,"ハヤ"),COUNTIF(L$44:L$51,"オソ"),COUNTIF(L$44:L$51,"イブ"))</f>
        <v>0</v>
      </c>
      <c r="M58" s="12">
        <f>SUM(COUNTIF(M$44:M$51,"○"),COUNTIF(M$44:M$51,"〇"),COUNTIF(M$44:M$51,"出"),COUNTIF(M$44:M$51,"早"),COUNTIF(M$44:M$51,"遅"),COUNTIF(M$44:M$51,"E"),COUNTIF(M$44:M$51,"8時"),COUNTIF(M$44:M$51,"ハヤ"),COUNTIF(M$44:M$51,"オソ"),COUNTIF(M$44:M$51,"イブ"))</f>
        <v>0</v>
      </c>
      <c r="N58" s="12">
        <f>SUM(COUNTIF(N$44:N$51,"○"),COUNTIF(N$44:N$51,"〇"),COUNTIF(N$44:N$51,"出"),COUNTIF(N$44:N$51,"早"),COUNTIF(N$44:N$51,"遅"),COUNTIF(N$44:N$51,"E"),COUNTIF(N$44:N$51,"8時"),COUNTIF(N$44:N$51,"ハヤ"),COUNTIF(N$44:N$51,"オソ"),COUNTIF(N$44:N$51,"イブ"))</f>
        <v>0</v>
      </c>
      <c r="O58" s="12">
        <f>SUM(COUNTIF(O$44:O$51,"○"),COUNTIF(O$44:O$51,"〇"),COUNTIF(O$44:O$51,"出"),COUNTIF(O$44:O$51,"早"),COUNTIF(O$44:O$51,"遅"),COUNTIF(O$44:O$51,"E"),COUNTIF(O$44:O$51,"8時"),COUNTIF(O$44:O$51,"ハヤ"),COUNTIF(O$44:O$51,"オソ"),COUNTIF(O$44:O$51,"イブ"))</f>
        <v>0</v>
      </c>
      <c r="P58" s="12">
        <f>SUM(COUNTIF(P$44:P$51,"○"),COUNTIF(P$44:P$51,"〇"),COUNTIF(P$44:P$51,"出"),COUNTIF(P$44:P$51,"早"),COUNTIF(P$44:P$51,"遅"),COUNTIF(P$44:P$51,"E"),COUNTIF(P$44:P$51,"8時"),COUNTIF(P$44:P$51,"ハヤ"),COUNTIF(P$44:P$51,"オソ"),COUNTIF(P$44:P$51,"イブ"))</f>
        <v>0</v>
      </c>
      <c r="Q58" s="12">
        <f>SUM(COUNTIF(Q$44:Q$51,"○"),COUNTIF(Q$44:Q$51,"〇"),COUNTIF(Q$44:Q$51,"出"),COUNTIF(Q$44:Q$51,"早"),COUNTIF(Q$44:Q$51,"遅"),COUNTIF(Q$44:Q$51,"E"),COUNTIF(Q$44:Q$51,"8時"),COUNTIF(Q$44:Q$51,"ハヤ"),COUNTIF(Q$44:Q$51,"オソ"),COUNTIF(Q$44:Q$51,"イブ"))</f>
        <v>0</v>
      </c>
      <c r="R58" s="12">
        <f>SUM(COUNTIF(R$44:R$51,"○"),COUNTIF(R$44:R$51,"〇"),COUNTIF(R$44:R$51,"出"),COUNTIF(R$44:R$51,"早"),COUNTIF(R$44:R$51,"遅"),COUNTIF(R$44:R$51,"E"),COUNTIF(R$44:R$51,"8時"),COUNTIF(R$44:R$51,"ハヤ"),COUNTIF(R$44:R$51,"オソ"),COUNTIF(R$44:R$51,"イブ"))</f>
        <v>0</v>
      </c>
      <c r="S58" s="12">
        <f>SUM(COUNTIF(S$44:S$51,"○"),COUNTIF(S$44:S$51,"〇"),COUNTIF(S$44:S$51,"出"),COUNTIF(S$44:S$51,"早"),COUNTIF(S$44:S$51,"遅"),COUNTIF(S$44:S$51,"E"),COUNTIF(S$44:S$51,"8時"),COUNTIF(S$44:S$51,"ハヤ"),COUNTIF(S$44:S$51,"オソ"),COUNTIF(S$44:S$51,"イブ"))</f>
        <v>0</v>
      </c>
      <c r="T58" s="12">
        <f>SUM(COUNTIF(T$44:T$51,"○"),COUNTIF(T$44:T$51,"〇"),COUNTIF(T$44:T$51,"出"),COUNTIF(T$44:T$51,"早"),COUNTIF(T$44:T$51,"遅"),COUNTIF(T$44:T$51,"E"),COUNTIF(T$44:T$51,"8時"),COUNTIF(T$44:T$51,"ハヤ"),COUNTIF(T$44:T$51,"オソ"),COUNTIF(T$44:T$51,"イブ"))</f>
        <v>0</v>
      </c>
      <c r="U58" s="12">
        <f>SUM(COUNTIF(U$44:U$51,"○"),COUNTIF(U$44:U$51,"〇"),COUNTIF(U$44:U$51,"出"),COUNTIF(U$44:U$51,"早"),COUNTIF(U$44:U$51,"遅"),COUNTIF(U$44:U$51,"E"),COUNTIF(U$44:U$51,"8時"),COUNTIF(U$44:U$51,"ハヤ"),COUNTIF(U$44:U$51,"オソ"),COUNTIF(U$44:U$51,"イブ"))</f>
        <v>0</v>
      </c>
      <c r="V58" s="12">
        <f>SUM(COUNTIF(V$44:V$51,"○"),COUNTIF(V$44:V$51,"〇"),COUNTIF(V$44:V$51,"出"),COUNTIF(V$44:V$51,"早"),COUNTIF(V$44:V$51,"遅"),COUNTIF(V$44:V$51,"E"),COUNTIF(V$44:V$51,"8時"),COUNTIF(V$44:V$51,"ハヤ"),COUNTIF(V$44:V$51,"オソ"),COUNTIF(V$44:V$51,"イブ"))</f>
        <v>0</v>
      </c>
      <c r="W58" s="12">
        <f>SUM(COUNTIF(W$44:W$51,"○"),COUNTIF(W$44:W$51,"〇"),COUNTIF(W$44:W$51,"出"),COUNTIF(W$44:W$51,"早"),COUNTIF(W$44:W$51,"遅"),COUNTIF(W$44:W$51,"E"),COUNTIF(W$44:W$51,"8時"),COUNTIF(W$44:W$51,"ハヤ"),COUNTIF(W$44:W$51,"オソ"),COUNTIF(W$44:W$51,"イブ"))</f>
        <v>0</v>
      </c>
      <c r="X58" s="12">
        <f>SUM(COUNTIF(X$44:X$51,"○"),COUNTIF(X$44:X$51,"〇"),COUNTIF(X$44:X$51,"出"),COUNTIF(X$44:X$51,"早"),COUNTIF(X$44:X$51,"遅"),COUNTIF(X$44:X$51,"E"),COUNTIF(X$44:X$51,"8時"),COUNTIF(X$44:X$51,"ハヤ"),COUNTIF(X$44:X$51,"オソ"),COUNTIF(X$44:X$51,"イブ"))</f>
        <v>0</v>
      </c>
      <c r="Y58" s="12">
        <f>SUM(COUNTIF(Y$44:Y$51,"○"),COUNTIF(Y$44:Y$51,"〇"),COUNTIF(Y$44:Y$51,"出"),COUNTIF(Y$44:Y$51,"早"),COUNTIF(Y$44:Y$51,"遅"),COUNTIF(Y$44:Y$51,"E"),COUNTIF(Y$44:Y$51,"8時"),COUNTIF(Y$44:Y$51,"ハヤ"),COUNTIF(Y$44:Y$51,"オソ"),COUNTIF(Y$44:Y$51,"イブ"))</f>
        <v>0</v>
      </c>
      <c r="Z58" s="12">
        <f>SUM(COUNTIF(Z$44:Z$51,"○"),COUNTIF(Z$44:Z$51,"〇"),COUNTIF(Z$44:Z$51,"出"),COUNTIF(Z$44:Z$51,"早"),COUNTIF(Z$44:Z$51,"遅"),COUNTIF(Z$44:Z$51,"E"),COUNTIF(Z$44:Z$51,"8時"),COUNTIF(Z$44:Z$51,"ハヤ"),COUNTIF(Z$44:Z$51,"オソ"),COUNTIF(Z$44:Z$51,"イブ"))</f>
        <v>0</v>
      </c>
      <c r="AA58" s="12">
        <f>SUM(COUNTIF(AA$44:AA$51,"○"),COUNTIF(AA$44:AA$51,"〇"),COUNTIF(AA$44:AA$51,"出"),COUNTIF(AA$44:AA$51,"早"),COUNTIF(AA$44:AA$51,"遅"),COUNTIF(AA$44:AA$51,"E"),COUNTIF(AA$44:AA$51,"8時"),COUNTIF(AA$44:AA$51,"ハヤ"),COUNTIF(AA$44:AA$51,"オソ"),COUNTIF(AA$44:AA$51,"イブ"))</f>
        <v>0</v>
      </c>
      <c r="AB58" s="12">
        <f>SUM(COUNTIF(AB$44:AB$51,"○"),COUNTIF(AB$44:AB$51,"〇"),COUNTIF(AB$44:AB$51,"出"),COUNTIF(AB$44:AB$51,"早"),COUNTIF(AB$44:AB$51,"遅"),COUNTIF(AB$44:AB$51,"E"),COUNTIF(AB$44:AB$51,"8時"),COUNTIF(AB$44:AB$51,"ハヤ"),COUNTIF(AB$44:AB$51,"オソ"),COUNTIF(AB$44:AB$51,"イブ"))</f>
        <v>0</v>
      </c>
      <c r="AC58" s="12">
        <f>SUM(COUNTIF(AC$44:AC$51,"○"),COUNTIF(AC$44:AC$51,"〇"),COUNTIF(AC$44:AC$51,"出"),COUNTIF(AC$44:AC$51,"早"),COUNTIF(AC$44:AC$51,"遅"),COUNTIF(AC$44:AC$51,"E"),COUNTIF(AC$44:AC$51,"8時"),COUNTIF(AC$44:AC$51,"ハヤ"),COUNTIF(AC$44:AC$51,"オソ"),COUNTIF(AC$44:AC$51,"イブ"))</f>
        <v>0</v>
      </c>
      <c r="AD58" s="12">
        <f>SUM(B58:AC58)</f>
        <v>0</v>
      </c>
      <c r="AE58" s="12" t="inlineStr">
        <is>
          <t>-</t>
        </is>
      </c>
      <c r="AF58" s="12" t="inlineStr">
        <is>
          <t>-</t>
        </is>
      </c>
      <c r="AG58" s="12" t="inlineStr">
        <is>
          <t>-</t>
        </is>
      </c>
      <c r="AH58" s="12" t="inlineStr">
        <is>
          <t>-</t>
        </is>
      </c>
      <c r="AI58" s="12" t="inlineStr">
        <is>
          <t>-</t>
        </is>
      </c>
      <c r="AJ58" s="12" t="inlineStr">
        <is>
          <t>-</t>
        </is>
      </c>
      <c r="AK58" s="12" t="inlineStr">
        <is>
          <t>-</t>
        </is>
      </c>
    </row>
    <row r="59" ht="20" customHeight="1">
      <c r="A59" s="13" t="inlineStr">
        <is>
          <t>早番</t>
        </is>
      </c>
      <c r="B59" s="13">
        <f>COUNTIF(B$4:B$51,"早")+COUNTIF(B$4:B$51,"ハヤ")</f>
        <v>0</v>
      </c>
      <c r="C59" s="13">
        <f>COUNTIF(C$4:C$51,"早")+COUNTIF(C$4:C$51,"ハヤ")</f>
        <v>0</v>
      </c>
      <c r="D59" s="13">
        <f>COUNTIF(D$4:D$51,"早")+COUNTIF(D$4:D$51,"ハヤ")</f>
        <v>0</v>
      </c>
      <c r="E59" s="13">
        <f>COUNTIF(E$4:E$51,"早")+COUNTIF(E$4:E$51,"ハヤ")</f>
        <v>0</v>
      </c>
      <c r="F59" s="13">
        <f>COUNTIF(F$4:F$51,"早")+COUNTIF(F$4:F$51,"ハヤ")</f>
        <v>0</v>
      </c>
      <c r="G59" s="13">
        <f>COUNTIF(G$4:G$51,"早")+COUNTIF(G$4:G$51,"ハヤ")</f>
        <v>0</v>
      </c>
      <c r="H59" s="13">
        <f>COUNTIF(H$4:H$51,"早")+COUNTIF(H$4:H$51,"ハヤ")</f>
        <v>0</v>
      </c>
      <c r="I59" s="13">
        <f>COUNTIF(I$4:I$51,"早")+COUNTIF(I$4:I$51,"ハヤ")</f>
        <v>0</v>
      </c>
      <c r="J59" s="13">
        <f>COUNTIF(J$4:J$51,"早")+COUNTIF(J$4:J$51,"ハヤ")</f>
        <v>0</v>
      </c>
      <c r="K59" s="13">
        <f>COUNTIF(K$4:K$51,"早")+COUNTIF(K$4:K$51,"ハヤ")</f>
        <v>0</v>
      </c>
      <c r="L59" s="13">
        <f>COUNTIF(L$4:L$51,"早")+COUNTIF(L$4:L$51,"ハヤ")</f>
        <v>0</v>
      </c>
      <c r="M59" s="13">
        <f>COUNTIF(M$4:M$51,"早")+COUNTIF(M$4:M$51,"ハヤ")</f>
        <v>0</v>
      </c>
      <c r="N59" s="13">
        <f>COUNTIF(N$4:N$51,"早")+COUNTIF(N$4:N$51,"ハヤ")</f>
        <v>0</v>
      </c>
      <c r="O59" s="13">
        <f>COUNTIF(O$4:O$51,"早")+COUNTIF(O$4:O$51,"ハヤ")</f>
        <v>0</v>
      </c>
      <c r="P59" s="13">
        <f>COUNTIF(P$4:P$51,"早")+COUNTIF(P$4:P$51,"ハヤ")</f>
        <v>0</v>
      </c>
      <c r="Q59" s="13">
        <f>COUNTIF(Q$4:Q$51,"早")+COUNTIF(Q$4:Q$51,"ハヤ")</f>
        <v>0</v>
      </c>
      <c r="R59" s="13">
        <f>COUNTIF(R$4:R$51,"早")+COUNTIF(R$4:R$51,"ハヤ")</f>
        <v>0</v>
      </c>
      <c r="S59" s="13">
        <f>COUNTIF(S$4:S$51,"早")+COUNTIF(S$4:S$51,"ハヤ")</f>
        <v>0</v>
      </c>
      <c r="T59" s="13">
        <f>COUNTIF(T$4:T$51,"早")+COUNTIF(T$4:T$51,"ハヤ")</f>
        <v>0</v>
      </c>
      <c r="U59" s="13">
        <f>COUNTIF(U$4:U$51,"早")+COUNTIF(U$4:U$51,"ハヤ")</f>
        <v>0</v>
      </c>
      <c r="V59" s="13">
        <f>COUNTIF(V$4:V$51,"早")+COUNTIF(V$4:V$51,"ハヤ")</f>
        <v>0</v>
      </c>
      <c r="W59" s="13">
        <f>COUNTIF(W$4:W$51,"早")+COUNTIF(W$4:W$51,"ハヤ")</f>
        <v>0</v>
      </c>
      <c r="X59" s="13">
        <f>COUNTIF(X$4:X$51,"早")+COUNTIF(X$4:X$51,"ハヤ")</f>
        <v>0</v>
      </c>
      <c r="Y59" s="13">
        <f>COUNTIF(Y$4:Y$51,"早")+COUNTIF(Y$4:Y$51,"ハヤ")</f>
        <v>0</v>
      </c>
      <c r="Z59" s="13">
        <f>COUNTIF(Z$4:Z$51,"早")+COUNTIF(Z$4:Z$51,"ハヤ")</f>
        <v>0</v>
      </c>
      <c r="AA59" s="13">
        <f>COUNTIF(AA$4:AA$51,"早")+COUNTIF(AA$4:AA$51,"ハヤ")</f>
        <v>0</v>
      </c>
      <c r="AB59" s="13">
        <f>COUNTIF(AB$4:AB$51,"早")+COUNTIF(AB$4:AB$51,"ハヤ")</f>
        <v>0</v>
      </c>
      <c r="AC59" s="13">
        <f>COUNTIF(AC$4:AC$51,"早")+COUNTIF(AC$4:AC$51,"ハヤ")</f>
        <v>0</v>
      </c>
      <c r="AD59" s="13">
        <f>SUM(B59:AC59)</f>
        <v>0</v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-</t>
        </is>
      </c>
      <c r="AJ59" s="13" t="inlineStr">
        <is>
          <t>-</t>
        </is>
      </c>
      <c r="AK59" s="13" t="inlineStr">
        <is>
          <t>-</t>
        </is>
      </c>
    </row>
    <row r="60" ht="20" customHeight="1">
      <c r="A60" s="13" t="inlineStr">
        <is>
          <t>遅番</t>
        </is>
      </c>
      <c r="B60" s="13">
        <f>COUNTIF(B$4:B$51,"遅")+COUNTIF(B$4:B$51,"オソ")</f>
        <v>0</v>
      </c>
      <c r="C60" s="13">
        <f>COUNTIF(C$4:C$51,"遅")+COUNTIF(C$4:C$51,"オソ")</f>
        <v>0</v>
      </c>
      <c r="D60" s="13">
        <f>COUNTIF(D$4:D$51,"遅")+COUNTIF(D$4:D$51,"オソ")</f>
        <v>0</v>
      </c>
      <c r="E60" s="13">
        <f>COUNTIF(E$4:E$51,"遅")+COUNTIF(E$4:E$51,"オソ")</f>
        <v>0</v>
      </c>
      <c r="F60" s="13">
        <f>COUNTIF(F$4:F$51,"遅")+COUNTIF(F$4:F$51,"オソ")</f>
        <v>0</v>
      </c>
      <c r="G60" s="13">
        <f>COUNTIF(G$4:G$51,"遅")+COUNTIF(G$4:G$51,"オソ")</f>
        <v>0</v>
      </c>
      <c r="H60" s="13">
        <f>COUNTIF(H$4:H$51,"遅")+COUNTIF(H$4:H$51,"オソ")</f>
        <v>0</v>
      </c>
      <c r="I60" s="13">
        <f>COUNTIF(I$4:I$51,"遅")+COUNTIF(I$4:I$51,"オソ")</f>
        <v>0</v>
      </c>
      <c r="J60" s="13">
        <f>COUNTIF(J$4:J$51,"遅")+COUNTIF(J$4:J$51,"オソ")</f>
        <v>0</v>
      </c>
      <c r="K60" s="13">
        <f>COUNTIF(K$4:K$51,"遅")+COUNTIF(K$4:K$51,"オソ")</f>
        <v>0</v>
      </c>
      <c r="L60" s="13">
        <f>COUNTIF(L$4:L$51,"遅")+COUNTIF(L$4:L$51,"オソ")</f>
        <v>0</v>
      </c>
      <c r="M60" s="13">
        <f>COUNTIF(M$4:M$51,"遅")+COUNTIF(M$4:M$51,"オソ")</f>
        <v>0</v>
      </c>
      <c r="N60" s="13">
        <f>COUNTIF(N$4:N$51,"遅")+COUNTIF(N$4:N$51,"オソ")</f>
        <v>0</v>
      </c>
      <c r="O60" s="13">
        <f>COUNTIF(O$4:O$51,"遅")+COUNTIF(O$4:O$51,"オソ")</f>
        <v>0</v>
      </c>
      <c r="P60" s="13">
        <f>COUNTIF(P$4:P$51,"遅")+COUNTIF(P$4:P$51,"オソ")</f>
        <v>0</v>
      </c>
      <c r="Q60" s="13">
        <f>COUNTIF(Q$4:Q$51,"遅")+COUNTIF(Q$4:Q$51,"オソ")</f>
        <v>0</v>
      </c>
      <c r="R60" s="13">
        <f>COUNTIF(R$4:R$51,"遅")+COUNTIF(R$4:R$51,"オソ")</f>
        <v>0</v>
      </c>
      <c r="S60" s="13">
        <f>COUNTIF(S$4:S$51,"遅")+COUNTIF(S$4:S$51,"オソ")</f>
        <v>0</v>
      </c>
      <c r="T60" s="13">
        <f>COUNTIF(T$4:T$51,"遅")+COUNTIF(T$4:T$51,"オソ")</f>
        <v>0</v>
      </c>
      <c r="U60" s="13">
        <f>COUNTIF(U$4:U$51,"遅")+COUNTIF(U$4:U$51,"オソ")</f>
        <v>0</v>
      </c>
      <c r="V60" s="13">
        <f>COUNTIF(V$4:V$51,"遅")+COUNTIF(V$4:V$51,"オソ")</f>
        <v>0</v>
      </c>
      <c r="W60" s="13">
        <f>COUNTIF(W$4:W$51,"遅")+COUNTIF(W$4:W$51,"オソ")</f>
        <v>0</v>
      </c>
      <c r="X60" s="13">
        <f>COUNTIF(X$4:X$51,"遅")+COUNTIF(X$4:X$51,"オソ")</f>
        <v>0</v>
      </c>
      <c r="Y60" s="13">
        <f>COUNTIF(Y$4:Y$51,"遅")+COUNTIF(Y$4:Y$51,"オソ")</f>
        <v>0</v>
      </c>
      <c r="Z60" s="13">
        <f>COUNTIF(Z$4:Z$51,"遅")+COUNTIF(Z$4:Z$51,"オソ")</f>
        <v>0</v>
      </c>
      <c r="AA60" s="13">
        <f>COUNTIF(AA$4:AA$51,"遅")+COUNTIF(AA$4:AA$51,"オソ")</f>
        <v>0</v>
      </c>
      <c r="AB60" s="13">
        <f>COUNTIF(AB$4:AB$51,"遅")+COUNTIF(AB$4:AB$51,"オソ")</f>
        <v>0</v>
      </c>
      <c r="AC60" s="13">
        <f>COUNTIF(AC$4:AC$51,"遅")+COUNTIF(AC$4:AC$51,"オソ")</f>
        <v>0</v>
      </c>
      <c r="AD60" s="13">
        <f>SUM(B60:AC60)</f>
        <v>0</v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-</t>
        </is>
      </c>
      <c r="AJ60" s="13" t="inlineStr">
        <is>
          <t>-</t>
        </is>
      </c>
      <c r="AK60" s="13" t="inlineStr">
        <is>
          <t>-</t>
        </is>
      </c>
    </row>
    <row r="61" ht="20" customHeight="1">
      <c r="A61" s="13" t="inlineStr">
        <is>
          <t>E</t>
        </is>
      </c>
      <c r="B61" s="13">
        <f>COUNTIF(B$4:B$51,"E")+COUNTIF(B$4:B$51,"イブ")</f>
        <v>0</v>
      </c>
      <c r="C61" s="13">
        <f>COUNTIF(C$4:C$51,"E")+COUNTIF(C$4:C$51,"イブ")</f>
        <v>0</v>
      </c>
      <c r="D61" s="13">
        <f>COUNTIF(D$4:D$51,"E")+COUNTIF(D$4:D$51,"イブ")</f>
        <v>0</v>
      </c>
      <c r="E61" s="13">
        <f>COUNTIF(E$4:E$51,"E")+COUNTIF(E$4:E$51,"イブ")</f>
        <v>0</v>
      </c>
      <c r="F61" s="13">
        <f>COUNTIF(F$4:F$51,"E")+COUNTIF(F$4:F$51,"イブ")</f>
        <v>0</v>
      </c>
      <c r="G61" s="13">
        <f>COUNTIF(G$4:G$51,"E")+COUNTIF(G$4:G$51,"イブ")</f>
        <v>0</v>
      </c>
      <c r="H61" s="13">
        <f>COUNTIF(H$4:H$51,"E")+COUNTIF(H$4:H$51,"イブ")</f>
        <v>0</v>
      </c>
      <c r="I61" s="13">
        <f>COUNTIF(I$4:I$51,"E")+COUNTIF(I$4:I$51,"イブ")</f>
        <v>0</v>
      </c>
      <c r="J61" s="13">
        <f>COUNTIF(J$4:J$51,"E")+COUNTIF(J$4:J$51,"イブ")</f>
        <v>0</v>
      </c>
      <c r="K61" s="13">
        <f>COUNTIF(K$4:K$51,"E")+COUNTIF(K$4:K$51,"イブ")</f>
        <v>0</v>
      </c>
      <c r="L61" s="13">
        <f>COUNTIF(L$4:L$51,"E")+COUNTIF(L$4:L$51,"イブ")</f>
        <v>0</v>
      </c>
      <c r="M61" s="13">
        <f>COUNTIF(M$4:M$51,"E")+COUNTIF(M$4:M$51,"イブ")</f>
        <v>0</v>
      </c>
      <c r="N61" s="13">
        <f>COUNTIF(N$4:N$51,"E")+COUNTIF(N$4:N$51,"イブ")</f>
        <v>0</v>
      </c>
      <c r="O61" s="13">
        <f>COUNTIF(O$4:O$51,"E")+COUNTIF(O$4:O$51,"イブ")</f>
        <v>0</v>
      </c>
      <c r="P61" s="13">
        <f>COUNTIF(P$4:P$51,"E")+COUNTIF(P$4:P$51,"イブ")</f>
        <v>0</v>
      </c>
      <c r="Q61" s="13">
        <f>COUNTIF(Q$4:Q$51,"E")+COUNTIF(Q$4:Q$51,"イブ")</f>
        <v>0</v>
      </c>
      <c r="R61" s="13">
        <f>COUNTIF(R$4:R$51,"E")+COUNTIF(R$4:R$51,"イブ")</f>
        <v>0</v>
      </c>
      <c r="S61" s="13">
        <f>COUNTIF(S$4:S$51,"E")+COUNTIF(S$4:S$51,"イブ")</f>
        <v>0</v>
      </c>
      <c r="T61" s="13">
        <f>COUNTIF(T$4:T$51,"E")+COUNTIF(T$4:T$51,"イブ")</f>
        <v>0</v>
      </c>
      <c r="U61" s="13">
        <f>COUNTIF(U$4:U$51,"E")+COUNTIF(U$4:U$51,"イブ")</f>
        <v>0</v>
      </c>
      <c r="V61" s="13">
        <f>COUNTIF(V$4:V$51,"E")+COUNTIF(V$4:V$51,"イブ")</f>
        <v>0</v>
      </c>
      <c r="W61" s="13">
        <f>COUNTIF(W$4:W$51,"E")+COUNTIF(W$4:W$51,"イブ")</f>
        <v>0</v>
      </c>
      <c r="X61" s="13">
        <f>COUNTIF(X$4:X$51,"E")+COUNTIF(X$4:X$51,"イブ")</f>
        <v>0</v>
      </c>
      <c r="Y61" s="13">
        <f>COUNTIF(Y$4:Y$51,"E")+COUNTIF(Y$4:Y$51,"イブ")</f>
        <v>0</v>
      </c>
      <c r="Z61" s="13">
        <f>COUNTIF(Z$4:Z$51,"E")+COUNTIF(Z$4:Z$51,"イブ")</f>
        <v>0</v>
      </c>
      <c r="AA61" s="13">
        <f>COUNTIF(AA$4:AA$51,"E")+COUNTIF(AA$4:AA$51,"イブ")</f>
        <v>0</v>
      </c>
      <c r="AB61" s="13">
        <f>COUNTIF(AB$4:AB$51,"E")+COUNTIF(AB$4:AB$51,"イブ")</f>
        <v>0</v>
      </c>
      <c r="AC61" s="13">
        <f>COUNTIF(AC$4:AC$51,"E")+COUNTIF(AC$4:AC$51,"イブ")</f>
        <v>0</v>
      </c>
      <c r="AD61" s="13">
        <f>SUM(B61:AC61)</f>
        <v>0</v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-</t>
        </is>
      </c>
      <c r="AJ61" s="13" t="inlineStr">
        <is>
          <t>-</t>
        </is>
      </c>
      <c r="AK61" s="13" t="inlineStr">
        <is>
          <t>-</t>
        </is>
      </c>
    </row>
    <row r="62" ht="20" customHeight="1">
      <c r="A62" s="13" t="inlineStr">
        <is>
          <t>8時</t>
        </is>
      </c>
      <c r="B62" s="13">
        <f>COUNTIF(B$4:B$51,"8時")</f>
        <v>0</v>
      </c>
      <c r="C62" s="13">
        <f>COUNTIF(C$4:C$51,"8時")</f>
        <v>0</v>
      </c>
      <c r="D62" s="13">
        <f>COUNTIF(D$4:D$51,"8時")</f>
        <v>0</v>
      </c>
      <c r="E62" s="13">
        <f>COUNTIF(E$4:E$51,"8時")</f>
        <v>0</v>
      </c>
      <c r="F62" s="13">
        <f>COUNTIF(F$4:F$51,"8時")</f>
        <v>0</v>
      </c>
      <c r="G62" s="13">
        <f>COUNTIF(G$4:G$51,"8時")</f>
        <v>0</v>
      </c>
      <c r="H62" s="13">
        <f>COUNTIF(H$4:H$51,"8時")</f>
        <v>0</v>
      </c>
      <c r="I62" s="13">
        <f>COUNTIF(I$4:I$51,"8時")</f>
        <v>0</v>
      </c>
      <c r="J62" s="13">
        <f>COUNTIF(J$4:J$51,"8時")</f>
        <v>0</v>
      </c>
      <c r="K62" s="13">
        <f>COUNTIF(K$4:K$51,"8時")</f>
        <v>0</v>
      </c>
      <c r="L62" s="13">
        <f>COUNTIF(L$4:L$51,"8時")</f>
        <v>0</v>
      </c>
      <c r="M62" s="13">
        <f>COUNTIF(M$4:M$51,"8時")</f>
        <v>0</v>
      </c>
      <c r="N62" s="13">
        <f>COUNTIF(N$4:N$51,"8時")</f>
        <v>0</v>
      </c>
      <c r="O62" s="13">
        <f>COUNTIF(O$4:O$51,"8時")</f>
        <v>0</v>
      </c>
      <c r="P62" s="13">
        <f>COUNTIF(P$4:P$51,"8時")</f>
        <v>0</v>
      </c>
      <c r="Q62" s="13">
        <f>COUNTIF(Q$4:Q$51,"8時")</f>
        <v>0</v>
      </c>
      <c r="R62" s="13">
        <f>COUNTIF(R$4:R$51,"8時")</f>
        <v>0</v>
      </c>
      <c r="S62" s="13">
        <f>COUNTIF(S$4:S$51,"8時")</f>
        <v>0</v>
      </c>
      <c r="T62" s="13">
        <f>COUNTIF(T$4:T$51,"8時")</f>
        <v>0</v>
      </c>
      <c r="U62" s="13">
        <f>COUNTIF(U$4:U$51,"8時")</f>
        <v>0</v>
      </c>
      <c r="V62" s="13">
        <f>COUNTIF(V$4:V$51,"8時")</f>
        <v>0</v>
      </c>
      <c r="W62" s="13">
        <f>COUNTIF(W$4:W$51,"8時")</f>
        <v>0</v>
      </c>
      <c r="X62" s="13">
        <f>COUNTIF(X$4:X$51,"8時")</f>
        <v>0</v>
      </c>
      <c r="Y62" s="13">
        <f>COUNTIF(Y$4:Y$51,"8時")</f>
        <v>0</v>
      </c>
      <c r="Z62" s="13">
        <f>COUNTIF(Z$4:Z$51,"8時")</f>
        <v>0</v>
      </c>
      <c r="AA62" s="13">
        <f>COUNTIF(AA$4:AA$51,"8時")</f>
        <v>0</v>
      </c>
      <c r="AB62" s="13">
        <f>COUNTIF(AB$4:AB$51,"8時")</f>
        <v>0</v>
      </c>
      <c r="AC62" s="13">
        <f>COUNTIF(AC$4:AC$51,"8時")</f>
        <v>0</v>
      </c>
      <c r="AD62" s="13">
        <f>SUM(B62:AC62)</f>
        <v>0</v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-</t>
        </is>
      </c>
      <c r="AJ62" s="13" t="inlineStr">
        <is>
          <t>-</t>
        </is>
      </c>
      <c r="AK62" s="13" t="inlineStr">
        <is>
          <t>-</t>
        </is>
      </c>
    </row>
  </sheetData>
  <pageMargins left="0.25" right="0.25" top="0.3" bottom="0.3" header="0.2" footer="0.2"/>
  <pageSetup paperSize="8" orientation="landscape" fitToWidth="1" fitToHeight="1"/>
</worksheet>
</file>