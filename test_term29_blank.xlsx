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希望入力シート" sheetId="1" r:id="rId1"/>
  </sheets>
</workbook>
</file>

<file path=xl/styles.xml><?xml version="1.0" encoding="utf-8"?>
<styleSheet xmlns="http://schemas.openxmlformats.org/spreadsheetml/2006/main">
  <fonts count="4">
    <font>
      <sz val="11"/>
      <name val="游ゴシック"/>
    </font>
    <font>
      <b/>
      <sz val="11"/>
      <name val="游ゴシック"/>
    </font>
    <font>
      <b/>
      <sz val="12"/>
      <name val="游ゴシック"/>
      <color rgb="1E293B"/>
    </font>
    <font>
      <b/>
      <sz val="11"/>
      <name val="游ゴシック"/>
      <color rgb="DC2626"/>
    </font>
  </fonts>
  <fills count="6">
    <fill>
      <patternFill patternType="none"/>
    </fill>
    <fill>
      <patternFill patternType="gray125"/>
    </fill>
    <fill>
      <patternFill patternType="solid">
        <fgColor rgb="F1F5F9"/>
      </patternFill>
    </fill>
    <fill>
      <patternFill patternType="solid">
        <fgColor rgb="EFF6FF"/>
      </patternFill>
    </fill>
    <fill>
      <patternFill patternType="solid">
        <fgColor rgb="FEF2F2"/>
      </patternFill>
    </fill>
    <fill>
      <patternFill patternType="solid">
        <fgColor rgb="F0FDF4"/>
      </patternFill>
    </fill>
  </fills>
  <borders count="2">
    <border>
      <left/>
      <right/>
      <top/>
      <bottom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>
      <alignment horizontal="left" vertical="center"/>
    </xf>
    <xf numFmtId="0" fontId="1" fillId="2" borderId="1" xfId="0">
      <alignment horizontal="center" vertical="center"/>
    </xf>
    <xf numFmtId="0" fontId="1" fillId="3" borderId="1" xfId="0">
      <alignment horizontal="center" vertical="center"/>
    </xf>
    <xf numFmtId="0" fontId="1" fillId="4" borderId="1" xfId="0">
      <alignment horizontal="center" vertical="center"/>
    </xf>
    <xf numFmtId="0" fontId="0" fillId="0" borderId="1" xfId="0">
      <alignment horizontal="center" vertical="center"/>
    </xf>
    <xf numFmtId="0" fontId="0" fillId="0" borderId="1" xfId="0">
      <alignment horizontal="left" vertical="center"/>
    </xf>
    <xf numFmtId="0" fontId="1" fillId="5" borderId="1" xfId="0">
      <alignment horizontal="center" vertical="center"/>
    </xf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tabSelected="1" workbookViewId="0"/>
  </sheetViews>
  <sheetFormatPr defaultRowHeight="18"/>
  <cols>
    <col min="1" max="1" width="5" customWidth="1"/>
    <col min="2" max="2" width="16" customWidth="1"/>
    <col min="3" max="31" width="6" customWidth="1"/>
    <col min="32" max="33" width="11" customWidth="1"/>
    <col min="34" max="34" width="162" customWidth="1"/>
  </cols>
  <sheetData>
    <row r="1" ht="24" customHeight="1">
      <c r="A1" s="1" t="inlineStr">
        <is>
          <t>3月3日～3月31日 スタッフ希望勤務入力シート（希望勤務はプルダウンから選択してください）</t>
        </is>
      </c>
    </row>
    <row r="2" ht="22" customHeight="1">
      <c r="A2" s="2" t="inlineStr">
        <is>
          <t>No</t>
        </is>
      </c>
      <c r="B2" s="2" t="inlineStr">
        <is>
          <t>氏名</t>
        </is>
      </c>
      <c r="C2" s="2" t="inlineStr">
        <is>
          <t>3/3</t>
        </is>
      </c>
      <c r="D2" s="2" t="inlineStr">
        <is>
          <t>3/4</t>
        </is>
      </c>
      <c r="E2" s="2" t="inlineStr">
        <is>
          <t>3/5</t>
        </is>
      </c>
      <c r="F2" s="2" t="inlineStr">
        <is>
          <t>3/6</t>
        </is>
      </c>
      <c r="G2" s="2" t="inlineStr">
        <is>
          <t>3/7</t>
        </is>
      </c>
      <c r="H2" s="2" t="inlineStr">
        <is>
          <t>3/8</t>
        </is>
      </c>
      <c r="I2" s="2" t="inlineStr">
        <is>
          <t>3/9</t>
        </is>
      </c>
      <c r="J2" s="2" t="inlineStr">
        <is>
          <t>3/10</t>
        </is>
      </c>
      <c r="K2" s="2" t="inlineStr">
        <is>
          <t>3/11</t>
        </is>
      </c>
      <c r="L2" s="2" t="inlineStr">
        <is>
          <t>3/12</t>
        </is>
      </c>
      <c r="M2" s="2" t="inlineStr">
        <is>
          <t>3/13</t>
        </is>
      </c>
      <c r="N2" s="2" t="inlineStr">
        <is>
          <t>3/14</t>
        </is>
      </c>
      <c r="O2" s="2" t="inlineStr">
        <is>
          <t>3/15</t>
        </is>
      </c>
      <c r="P2" s="2" t="inlineStr">
        <is>
          <t>3/16</t>
        </is>
      </c>
      <c r="Q2" s="2" t="inlineStr">
        <is>
          <t>3/17</t>
        </is>
      </c>
      <c r="R2" s="2" t="inlineStr">
        <is>
          <t>3/18</t>
        </is>
      </c>
      <c r="S2" s="2" t="inlineStr">
        <is>
          <t>3/19</t>
        </is>
      </c>
      <c r="T2" s="2" t="inlineStr">
        <is>
          <t>3/20</t>
        </is>
      </c>
      <c r="U2" s="2" t="inlineStr">
        <is>
          <t>3/21</t>
        </is>
      </c>
      <c r="V2" s="2" t="inlineStr">
        <is>
          <t>3/22</t>
        </is>
      </c>
      <c r="W2" s="2" t="inlineStr">
        <is>
          <t>3/23</t>
        </is>
      </c>
      <c r="X2" s="2" t="inlineStr">
        <is>
          <t>3/24</t>
        </is>
      </c>
      <c r="Y2" s="2" t="inlineStr">
        <is>
          <t>3/25</t>
        </is>
      </c>
      <c r="Z2" s="2" t="inlineStr">
        <is>
          <t>3/26</t>
        </is>
      </c>
      <c r="AA2" s="2" t="inlineStr">
        <is>
          <t>3/27</t>
        </is>
      </c>
      <c r="AB2" s="2" t="inlineStr">
        <is>
          <t>3/28</t>
        </is>
      </c>
      <c r="AC2" s="2" t="inlineStr">
        <is>
          <t>3/29</t>
        </is>
      </c>
      <c r="AD2" s="2" t="inlineStr">
        <is>
          <t>3/30</t>
        </is>
      </c>
      <c r="AE2" s="2" t="inlineStr">
        <is>
          <t>3/31</t>
        </is>
      </c>
      <c r="AF2" s="2" t="inlineStr">
        <is>
          <t>希望休数</t>
        </is>
      </c>
      <c r="AG2" s="2" t="inlineStr">
        <is>
          <t>希望有休数</t>
        </is>
      </c>
      <c r="AH2" s="2" t="inlineStr">
        <is>
          <t>備考</t>
        </is>
      </c>
    </row>
    <row r="3" ht="20" customHeight="1">
      <c r="A3" s="2"/>
      <c r="B3" s="2"/>
      <c r="C3" s="2" t="inlineStr">
        <is>
          <t>水</t>
        </is>
      </c>
      <c r="D3" s="2" t="inlineStr">
        <is>
          <t>木</t>
        </is>
      </c>
      <c r="E3" s="3" t="inlineStr">
        <is>
          <t>金</t>
        </is>
      </c>
      <c r="F3" s="3" t="inlineStr">
        <is>
          <t>土</t>
        </is>
      </c>
      <c r="G3" s="4" t="inlineStr">
        <is>
          <t>日</t>
        </is>
      </c>
      <c r="H3" s="2" t="inlineStr">
        <is>
          <t>月</t>
        </is>
      </c>
      <c r="I3" s="2" t="inlineStr">
        <is>
          <t>火</t>
        </is>
      </c>
      <c r="J3" s="2" t="inlineStr">
        <is>
          <t>水</t>
        </is>
      </c>
      <c r="K3" s="2" t="inlineStr">
        <is>
          <t>木</t>
        </is>
      </c>
      <c r="L3" s="3" t="inlineStr">
        <is>
          <t>金</t>
        </is>
      </c>
      <c r="M3" s="3" t="inlineStr">
        <is>
          <t>土</t>
        </is>
      </c>
      <c r="N3" s="4" t="inlineStr">
        <is>
          <t>日</t>
        </is>
      </c>
      <c r="O3" s="2" t="inlineStr">
        <is>
          <t>月</t>
        </is>
      </c>
      <c r="P3" s="2" t="inlineStr">
        <is>
          <t>火</t>
        </is>
      </c>
      <c r="Q3" s="2" t="inlineStr">
        <is>
          <t>水</t>
        </is>
      </c>
      <c r="R3" s="2" t="inlineStr">
        <is>
          <t>木</t>
        </is>
      </c>
      <c r="S3" s="3" t="inlineStr">
        <is>
          <t>金</t>
        </is>
      </c>
      <c r="T3" s="3" t="inlineStr">
        <is>
          <t>土</t>
        </is>
      </c>
      <c r="U3" s="4" t="inlineStr">
        <is>
          <t>日</t>
        </is>
      </c>
      <c r="V3" s="2" t="inlineStr">
        <is>
          <t>月</t>
        </is>
      </c>
      <c r="W3" s="2" t="inlineStr">
        <is>
          <t>火</t>
        </is>
      </c>
      <c r="X3" s="2" t="inlineStr">
        <is>
          <t>水</t>
        </is>
      </c>
      <c r="Y3" s="2" t="inlineStr">
        <is>
          <t>木</t>
        </is>
      </c>
      <c r="Z3" s="3" t="inlineStr">
        <is>
          <t>金</t>
        </is>
      </c>
      <c r="AA3" s="3" t="inlineStr">
        <is>
          <t>土</t>
        </is>
      </c>
      <c r="AB3" s="4" t="inlineStr">
        <is>
          <t>日</t>
        </is>
      </c>
      <c r="AC3" s="2" t="inlineStr">
        <is>
          <t>月</t>
        </is>
      </c>
      <c r="AD3" s="2" t="inlineStr">
        <is>
          <t>火</t>
        </is>
      </c>
      <c r="AE3" s="2" t="inlineStr">
        <is>
          <t>水</t>
        </is>
      </c>
      <c r="AF3" s="2"/>
      <c r="AG3" s="2"/>
      <c r="AH3" s="2"/>
    </row>
    <row r="4" ht="20" customHeight="1">
      <c r="A4" s="5">
        <v>1</v>
      </c>
      <c r="B4" s="6" t="inlineStr">
        <is>
          <t>スタッフ 01</t>
        </is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7">
        <f>COUNTIF(C4:AE4,"休")+0.5*(COUNTIF(C4:AE4,"○/休")+COUNTIF(C4:AE4,"〇/休")+COUNTIF(C4:AE4,"休/○")+COUNTIF(C4:AE4,"休/〇"))</f>
        <v>0</v>
      </c>
      <c r="AG4" s="7">
        <f>COUNTIF(C4:AE4,"有")+0.5*(COUNTIF(C4:AE4,"○/有")+COUNTIF(C4:AE4,"〇/有")+COUNTIF(C4:AE4,"有/○")+COUNTIF(C4:AE4,"有/〇"))</f>
        <v>0</v>
      </c>
      <c r="AH4" s="5"/>
    </row>
    <row r="5" ht="20" customHeight="1">
      <c r="A5" s="5">
        <v>2</v>
      </c>
      <c r="B5" s="6" t="inlineStr">
        <is>
          <t>スタッフ 02</t>
        </is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7">
        <f>COUNTIF(C5:AE5,"休")+0.5*(COUNTIF(C5:AE5,"○/休")+COUNTIF(C5:AE5,"〇/休")+COUNTIF(C5:AE5,"休/○")+COUNTIF(C5:AE5,"休/〇"))</f>
        <v>0</v>
      </c>
      <c r="AG5" s="7">
        <f>COUNTIF(C5:AE5,"有")+0.5*(COUNTIF(C5:AE5,"○/有")+COUNTIF(C5:AE5,"〇/有")+COUNTIF(C5:AE5,"有/○")+COUNTIF(C5:AE5,"有/〇"))</f>
        <v>0</v>
      </c>
      <c r="AH5" s="5"/>
    </row>
    <row r="6" ht="20" customHeight="1">
      <c r="A6" s="5">
        <v>3</v>
      </c>
      <c r="B6" s="6" t="inlineStr">
        <is>
          <t>スタッフ 03</t>
        </is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7">
        <f>COUNTIF(C6:AE6,"休")+0.5*(COUNTIF(C6:AE6,"○/休")+COUNTIF(C6:AE6,"〇/休")+COUNTIF(C6:AE6,"休/○")+COUNTIF(C6:AE6,"休/〇"))</f>
        <v>0</v>
      </c>
      <c r="AG6" s="7">
        <f>COUNTIF(C6:AE6,"有")+0.5*(COUNTIF(C6:AE6,"○/有")+COUNTIF(C6:AE6,"〇/有")+COUNTIF(C6:AE6,"有/○")+COUNTIF(C6:AE6,"有/〇"))</f>
        <v>0</v>
      </c>
      <c r="AH6" s="5"/>
    </row>
    <row r="7" ht="20" customHeight="1">
      <c r="A7" s="5">
        <v>4</v>
      </c>
      <c r="B7" s="6" t="inlineStr">
        <is>
          <t>スタッフ 04</t>
        </is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7">
        <f>COUNTIF(C7:AE7,"休")+0.5*(COUNTIF(C7:AE7,"○/休")+COUNTIF(C7:AE7,"〇/休")+COUNTIF(C7:AE7,"休/○")+COUNTIF(C7:AE7,"休/〇"))</f>
        <v>0</v>
      </c>
      <c r="AG7" s="7">
        <f>COUNTIF(C7:AE7,"有")+0.5*(COUNTIF(C7:AE7,"○/有")+COUNTIF(C7:AE7,"〇/有")+COUNTIF(C7:AE7,"有/○")+COUNTIF(C7:AE7,"有/〇"))</f>
        <v>0</v>
      </c>
      <c r="AH7" s="5"/>
    </row>
    <row r="8" ht="20" customHeight="1">
      <c r="A8" s="5">
        <v>5</v>
      </c>
      <c r="B8" s="6" t="inlineStr">
        <is>
          <t>スタッフ 05</t>
        </is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7">
        <f>COUNTIF(C8:AE8,"休")+0.5*(COUNTIF(C8:AE8,"○/休")+COUNTIF(C8:AE8,"〇/休")+COUNTIF(C8:AE8,"休/○")+COUNTIF(C8:AE8,"休/〇"))</f>
        <v>0</v>
      </c>
      <c r="AG8" s="7">
        <f>COUNTIF(C8:AE8,"有")+0.5*(COUNTIF(C8:AE8,"○/有")+COUNTIF(C8:AE8,"〇/有")+COUNTIF(C8:AE8,"有/○")+COUNTIF(C8:AE8,"有/〇"))</f>
        <v>0</v>
      </c>
      <c r="AH8" s="5"/>
    </row>
    <row r="9" ht="20" customHeight="1">
      <c r="A9" s="5">
        <v>6</v>
      </c>
      <c r="B9" s="6" t="inlineStr">
        <is>
          <t>スタッフ 06</t>
        </is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7">
        <f>COUNTIF(C9:AE9,"休")+0.5*(COUNTIF(C9:AE9,"○/休")+COUNTIF(C9:AE9,"〇/休")+COUNTIF(C9:AE9,"休/○")+COUNTIF(C9:AE9,"休/〇"))</f>
        <v>0</v>
      </c>
      <c r="AG9" s="7">
        <f>COUNTIF(C9:AE9,"有")+0.5*(COUNTIF(C9:AE9,"○/有")+COUNTIF(C9:AE9,"〇/有")+COUNTIF(C9:AE9,"有/○")+COUNTIF(C9:AE9,"有/〇"))</f>
        <v>0</v>
      </c>
      <c r="AH9" s="5"/>
    </row>
    <row r="10" ht="20" customHeight="1">
      <c r="A10" s="5">
        <v>7</v>
      </c>
      <c r="B10" s="6" t="inlineStr">
        <is>
          <t>スタッフ 07</t>
        </is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7">
        <f>COUNTIF(C10:AE10,"休")+0.5*(COUNTIF(C10:AE10,"○/休")+COUNTIF(C10:AE10,"〇/休")+COUNTIF(C10:AE10,"休/○")+COUNTIF(C10:AE10,"休/〇"))</f>
        <v>0</v>
      </c>
      <c r="AG10" s="7">
        <f>COUNTIF(C10:AE10,"有")+0.5*(COUNTIF(C10:AE10,"○/有")+COUNTIF(C10:AE10,"〇/有")+COUNTIF(C10:AE10,"有/○")+COUNTIF(C10:AE10,"有/〇"))</f>
        <v>0</v>
      </c>
      <c r="AH10" s="5"/>
    </row>
    <row r="11" ht="20" customHeight="1">
      <c r="A11" s="5">
        <v>8</v>
      </c>
      <c r="B11" s="6" t="inlineStr">
        <is>
          <t>スタッフ 08</t>
        </is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7">
        <f>COUNTIF(C11:AE11,"休")+0.5*(COUNTIF(C11:AE11,"○/休")+COUNTIF(C11:AE11,"〇/休")+COUNTIF(C11:AE11,"休/○")+COUNTIF(C11:AE11,"休/〇"))</f>
        <v>0</v>
      </c>
      <c r="AG11" s="7">
        <f>COUNTIF(C11:AE11,"有")+0.5*(COUNTIF(C11:AE11,"○/有")+COUNTIF(C11:AE11,"〇/有")+COUNTIF(C11:AE11,"有/○")+COUNTIF(C11:AE11,"有/〇"))</f>
        <v>0</v>
      </c>
      <c r="AH11" s="5"/>
    </row>
    <row r="12" ht="20" customHeight="1">
      <c r="A12" s="5">
        <v>9</v>
      </c>
      <c r="B12" s="6" t="inlineStr">
        <is>
          <t>スタッフ 09</t>
        </is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7">
        <f>COUNTIF(C12:AE12,"休")+0.5*(COUNTIF(C12:AE12,"○/休")+COUNTIF(C12:AE12,"〇/休")+COUNTIF(C12:AE12,"休/○")+COUNTIF(C12:AE12,"休/〇"))</f>
        <v>0</v>
      </c>
      <c r="AG12" s="7">
        <f>COUNTIF(C12:AE12,"有")+0.5*(COUNTIF(C12:AE12,"○/有")+COUNTIF(C12:AE12,"〇/有")+COUNTIF(C12:AE12,"有/○")+COUNTIF(C12:AE12,"有/〇"))</f>
        <v>0</v>
      </c>
      <c r="AH12" s="5"/>
    </row>
    <row r="13" ht="20" customHeight="1">
      <c r="A13" s="5">
        <v>10</v>
      </c>
      <c r="B13" s="6" t="inlineStr">
        <is>
          <t>スタッフ 10</t>
        </is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7">
        <f>COUNTIF(C13:AE13,"休")+0.5*(COUNTIF(C13:AE13,"○/休")+COUNTIF(C13:AE13,"〇/休")+COUNTIF(C13:AE13,"休/○")+COUNTIF(C13:AE13,"休/〇"))</f>
        <v>0</v>
      </c>
      <c r="AG13" s="7">
        <f>COUNTIF(C13:AE13,"有")+0.5*(COUNTIF(C13:AE13,"○/有")+COUNTIF(C13:AE13,"〇/有")+COUNTIF(C13:AE13,"有/○")+COUNTIF(C13:AE13,"有/〇"))</f>
        <v>0</v>
      </c>
      <c r="AH13" s="5"/>
    </row>
    <row r="14" ht="20" customHeight="1">
      <c r="A14" s="5">
        <v>11</v>
      </c>
      <c r="B14" s="6" t="inlineStr">
        <is>
          <t>スタッフ 11</t>
        </is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7">
        <f>COUNTIF(C14:AE14,"休")+0.5*(COUNTIF(C14:AE14,"○/休")+COUNTIF(C14:AE14,"〇/休")+COUNTIF(C14:AE14,"休/○")+COUNTIF(C14:AE14,"休/〇"))</f>
        <v>0</v>
      </c>
      <c r="AG14" s="7">
        <f>COUNTIF(C14:AE14,"有")+0.5*(COUNTIF(C14:AE14,"○/有")+COUNTIF(C14:AE14,"〇/有")+COUNTIF(C14:AE14,"有/○")+COUNTIF(C14:AE14,"有/〇"))</f>
        <v>0</v>
      </c>
      <c r="AH14" s="5"/>
    </row>
    <row r="15" ht="20" customHeight="1">
      <c r="A15" s="5">
        <v>12</v>
      </c>
      <c r="B15" s="6" t="inlineStr">
        <is>
          <t>スタッフ 12</t>
        </is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7">
        <f>COUNTIF(C15:AE15,"休")+0.5*(COUNTIF(C15:AE15,"○/休")+COUNTIF(C15:AE15,"〇/休")+COUNTIF(C15:AE15,"休/○")+COUNTIF(C15:AE15,"休/〇"))</f>
        <v>0</v>
      </c>
      <c r="AG15" s="7">
        <f>COUNTIF(C15:AE15,"有")+0.5*(COUNTIF(C15:AE15,"○/有")+COUNTIF(C15:AE15,"〇/有")+COUNTIF(C15:AE15,"有/○")+COUNTIF(C15:AE15,"有/〇"))</f>
        <v>0</v>
      </c>
      <c r="AH15" s="5"/>
    </row>
    <row r="16" ht="20" customHeight="1">
      <c r="A16" s="5">
        <v>13</v>
      </c>
      <c r="B16" s="6" t="inlineStr">
        <is>
          <t>スタッフ 13</t>
        </is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7">
        <f>COUNTIF(C16:AE16,"休")+0.5*(COUNTIF(C16:AE16,"○/休")+COUNTIF(C16:AE16,"〇/休")+COUNTIF(C16:AE16,"休/○")+COUNTIF(C16:AE16,"休/〇"))</f>
        <v>0</v>
      </c>
      <c r="AG16" s="7">
        <f>COUNTIF(C16:AE16,"有")+0.5*(COUNTIF(C16:AE16,"○/有")+COUNTIF(C16:AE16,"〇/有")+COUNTIF(C16:AE16,"有/○")+COUNTIF(C16:AE16,"有/〇"))</f>
        <v>0</v>
      </c>
      <c r="AH16" s="5"/>
    </row>
    <row r="17" ht="20" customHeight="1">
      <c r="A17" s="5">
        <v>14</v>
      </c>
      <c r="B17" s="6" t="inlineStr">
        <is>
          <t>スタッフ 14</t>
        </is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7">
        <f>COUNTIF(C17:AE17,"休")+0.5*(COUNTIF(C17:AE17,"○/休")+COUNTIF(C17:AE17,"〇/休")+COUNTIF(C17:AE17,"休/○")+COUNTIF(C17:AE17,"休/〇"))</f>
        <v>0</v>
      </c>
      <c r="AG17" s="7">
        <f>COUNTIF(C17:AE17,"有")+0.5*(COUNTIF(C17:AE17,"○/有")+COUNTIF(C17:AE17,"〇/有")+COUNTIF(C17:AE17,"有/○")+COUNTIF(C17:AE17,"有/〇"))</f>
        <v>0</v>
      </c>
      <c r="AH17" s="5"/>
    </row>
    <row r="18" ht="20" customHeight="1">
      <c r="A18" s="5">
        <v>15</v>
      </c>
      <c r="B18" s="6" t="inlineStr">
        <is>
          <t>スタッフ 15</t>
        </is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7">
        <f>COUNTIF(C18:AE18,"休")+0.5*(COUNTIF(C18:AE18,"○/休")+COUNTIF(C18:AE18,"〇/休")+COUNTIF(C18:AE18,"休/○")+COUNTIF(C18:AE18,"休/〇"))</f>
        <v>0</v>
      </c>
      <c r="AG18" s="7">
        <f>COUNTIF(C18:AE18,"有")+0.5*(COUNTIF(C18:AE18,"○/有")+COUNTIF(C18:AE18,"〇/有")+COUNTIF(C18:AE18,"有/○")+COUNTIF(C18:AE18,"有/〇"))</f>
        <v>0</v>
      </c>
      <c r="AH18" s="5"/>
    </row>
    <row r="19" ht="20" customHeight="1">
      <c r="A19" s="5">
        <v>16</v>
      </c>
      <c r="B19" s="6" t="inlineStr">
        <is>
          <t>スタッフ 16</t>
        </is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7">
        <f>COUNTIF(C19:AE19,"休")+0.5*(COUNTIF(C19:AE19,"○/休")+COUNTIF(C19:AE19,"〇/休")+COUNTIF(C19:AE19,"休/○")+COUNTIF(C19:AE19,"休/〇"))</f>
        <v>0</v>
      </c>
      <c r="AG19" s="7">
        <f>COUNTIF(C19:AE19,"有")+0.5*(COUNTIF(C19:AE19,"○/有")+COUNTIF(C19:AE19,"〇/有")+COUNTIF(C19:AE19,"有/○")+COUNTIF(C19:AE19,"有/〇"))</f>
        <v>0</v>
      </c>
      <c r="AH19" s="5"/>
    </row>
    <row r="20" ht="20" customHeight="1">
      <c r="A20" s="5">
        <v>17</v>
      </c>
      <c r="B20" s="6" t="inlineStr">
        <is>
          <t>スタッフ 17</t>
        </is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7">
        <f>COUNTIF(C20:AE20,"休")+0.5*(COUNTIF(C20:AE20,"○/休")+COUNTIF(C20:AE20,"〇/休")+COUNTIF(C20:AE20,"休/○")+COUNTIF(C20:AE20,"休/〇"))</f>
        <v>0</v>
      </c>
      <c r="AG20" s="7">
        <f>COUNTIF(C20:AE20,"有")+0.5*(COUNTIF(C20:AE20,"○/有")+COUNTIF(C20:AE20,"〇/有")+COUNTIF(C20:AE20,"有/○")+COUNTIF(C20:AE20,"有/〇"))</f>
        <v>0</v>
      </c>
      <c r="AH20" s="5"/>
    </row>
    <row r="21" ht="20" customHeight="1">
      <c r="A21" s="5">
        <v>18</v>
      </c>
      <c r="B21" s="6" t="inlineStr">
        <is>
          <t>スタッフ 18</t>
        </is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7">
        <f>COUNTIF(C21:AE21,"休")+0.5*(COUNTIF(C21:AE21,"○/休")+COUNTIF(C21:AE21,"〇/休")+COUNTIF(C21:AE21,"休/○")+COUNTIF(C21:AE21,"休/〇"))</f>
        <v>0</v>
      </c>
      <c r="AG21" s="7">
        <f>COUNTIF(C21:AE21,"有")+0.5*(COUNTIF(C21:AE21,"○/有")+COUNTIF(C21:AE21,"〇/有")+COUNTIF(C21:AE21,"有/○")+COUNTIF(C21:AE21,"有/〇"))</f>
        <v>0</v>
      </c>
      <c r="AH21" s="5"/>
    </row>
    <row r="22" ht="20" customHeight="1">
      <c r="A22" s="5">
        <v>19</v>
      </c>
      <c r="B22" s="6" t="inlineStr">
        <is>
          <t>スタッフ 19</t>
        </is>
      </c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7">
        <f>COUNTIF(C22:AE22,"休")+0.5*(COUNTIF(C22:AE22,"○/休")+COUNTIF(C22:AE22,"〇/休")+COUNTIF(C22:AE22,"休/○")+COUNTIF(C22:AE22,"休/〇"))</f>
        <v>0</v>
      </c>
      <c r="AG22" s="7">
        <f>COUNTIF(C22:AE22,"有")+0.5*(COUNTIF(C22:AE22,"○/有")+COUNTIF(C22:AE22,"〇/有")+COUNTIF(C22:AE22,"有/○")+COUNTIF(C22:AE22,"有/〇"))</f>
        <v>0</v>
      </c>
      <c r="AH22" s="5"/>
    </row>
    <row r="23" ht="20" customHeight="1">
      <c r="A23" s="5">
        <v>20</v>
      </c>
      <c r="B23" s="6" t="inlineStr">
        <is>
          <t>スタッフ 20</t>
        </is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7">
        <f>COUNTIF(C23:AE23,"休")+0.5*(COUNTIF(C23:AE23,"○/休")+COUNTIF(C23:AE23,"〇/休")+COUNTIF(C23:AE23,"休/○")+COUNTIF(C23:AE23,"休/〇"))</f>
        <v>0</v>
      </c>
      <c r="AG23" s="7">
        <f>COUNTIF(C23:AE23,"有")+0.5*(COUNTIF(C23:AE23,"○/有")+COUNTIF(C23:AE23,"〇/有")+COUNTIF(C23:AE23,"有/○")+COUNTIF(C23:AE23,"有/〇"))</f>
        <v>0</v>
      </c>
      <c r="AH23" s="5"/>
    </row>
    <row r="24" ht="20" customHeight="1">
      <c r="A24" s="5">
        <v>21</v>
      </c>
      <c r="B24" s="6" t="inlineStr">
        <is>
          <t>スタッフ 21</t>
        </is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7">
        <f>COUNTIF(C24:AE24,"休")+0.5*(COUNTIF(C24:AE24,"○/休")+COUNTIF(C24:AE24,"〇/休")+COUNTIF(C24:AE24,"休/○")+COUNTIF(C24:AE24,"休/〇"))</f>
        <v>0</v>
      </c>
      <c r="AG24" s="7">
        <f>COUNTIF(C24:AE24,"有")+0.5*(COUNTIF(C24:AE24,"○/有")+COUNTIF(C24:AE24,"〇/有")+COUNTIF(C24:AE24,"有/○")+COUNTIF(C24:AE24,"有/〇"))</f>
        <v>0</v>
      </c>
      <c r="AH24" s="5"/>
    </row>
    <row r="25" ht="20" customHeight="1">
      <c r="A25" s="5">
        <v>22</v>
      </c>
      <c r="B25" s="6" t="inlineStr">
        <is>
          <t>スタッフ 22</t>
        </is>
      </c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7">
        <f>COUNTIF(C25:AE25,"休")+0.5*(COUNTIF(C25:AE25,"○/休")+COUNTIF(C25:AE25,"〇/休")+COUNTIF(C25:AE25,"休/○")+COUNTIF(C25:AE25,"休/〇"))</f>
        <v>0</v>
      </c>
      <c r="AG25" s="7">
        <f>COUNTIF(C25:AE25,"有")+0.5*(COUNTIF(C25:AE25,"○/有")+COUNTIF(C25:AE25,"〇/有")+COUNTIF(C25:AE25,"有/○")+COUNTIF(C25:AE25,"有/〇"))</f>
        <v>0</v>
      </c>
      <c r="AH25" s="5"/>
    </row>
    <row r="26" ht="20" customHeight="1">
      <c r="A26" s="5">
        <v>23</v>
      </c>
      <c r="B26" s="6" t="inlineStr">
        <is>
          <t>スタッフ 23</t>
        </is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7">
        <f>COUNTIF(C26:AE26,"休")+0.5*(COUNTIF(C26:AE26,"○/休")+COUNTIF(C26:AE26,"〇/休")+COUNTIF(C26:AE26,"休/○")+COUNTIF(C26:AE26,"休/〇"))</f>
        <v>0</v>
      </c>
      <c r="AG26" s="7">
        <f>COUNTIF(C26:AE26,"有")+0.5*(COUNTIF(C26:AE26,"○/有")+COUNTIF(C26:AE26,"〇/有")+COUNTIF(C26:AE26,"有/○")+COUNTIF(C26:AE26,"有/〇"))</f>
        <v>0</v>
      </c>
      <c r="AH26" s="5"/>
    </row>
    <row r="27" ht="20" customHeight="1">
      <c r="A27" s="5">
        <v>24</v>
      </c>
      <c r="B27" s="6" t="inlineStr">
        <is>
          <t>スタッフ 24</t>
        </is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7">
        <f>COUNTIF(C27:AE27,"休")+0.5*(COUNTIF(C27:AE27,"○/休")+COUNTIF(C27:AE27,"〇/休")+COUNTIF(C27:AE27,"休/○")+COUNTIF(C27:AE27,"休/〇"))</f>
        <v>0</v>
      </c>
      <c r="AG27" s="7">
        <f>COUNTIF(C27:AE27,"有")+0.5*(COUNTIF(C27:AE27,"○/有")+COUNTIF(C27:AE27,"〇/有")+COUNTIF(C27:AE27,"有/○")+COUNTIF(C27:AE27,"有/〇"))</f>
        <v>0</v>
      </c>
      <c r="AH27" s="5"/>
    </row>
    <row r="28" ht="20" customHeight="1">
      <c r="A28" s="5">
        <v>25</v>
      </c>
      <c r="B28" s="6" t="inlineStr">
        <is>
          <t>スタッフ 25</t>
        </is>
      </c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7">
        <f>COUNTIF(C28:AE28,"休")+0.5*(COUNTIF(C28:AE28,"○/休")+COUNTIF(C28:AE28,"〇/休")+COUNTIF(C28:AE28,"休/○")+COUNTIF(C28:AE28,"休/〇"))</f>
        <v>0</v>
      </c>
      <c r="AG28" s="7">
        <f>COUNTIF(C28:AE28,"有")+0.5*(COUNTIF(C28:AE28,"○/有")+COUNTIF(C28:AE28,"〇/有")+COUNTIF(C28:AE28,"有/○")+COUNTIF(C28:AE28,"有/〇"))</f>
        <v>0</v>
      </c>
      <c r="AH28" s="5"/>
    </row>
    <row r="29" ht="20" customHeight="1">
      <c r="A29" s="5">
        <v>26</v>
      </c>
      <c r="B29" s="6" t="inlineStr">
        <is>
          <t>スタッフ 26</t>
        </is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7">
        <f>COUNTIF(C29:AE29,"休")+0.5*(COUNTIF(C29:AE29,"○/休")+COUNTIF(C29:AE29,"〇/休")+COUNTIF(C29:AE29,"休/○")+COUNTIF(C29:AE29,"休/〇"))</f>
        <v>0</v>
      </c>
      <c r="AG29" s="7">
        <f>COUNTIF(C29:AE29,"有")+0.5*(COUNTIF(C29:AE29,"○/有")+COUNTIF(C29:AE29,"〇/有")+COUNTIF(C29:AE29,"有/○")+COUNTIF(C29:AE29,"有/〇"))</f>
        <v>0</v>
      </c>
      <c r="AH29" s="5"/>
    </row>
    <row r="30" ht="20" customHeight="1">
      <c r="A30" s="5">
        <v>27</v>
      </c>
      <c r="B30" s="6" t="inlineStr">
        <is>
          <t>スタッフ 27</t>
        </is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7">
        <f>COUNTIF(C30:AE30,"休")+0.5*(COUNTIF(C30:AE30,"○/休")+COUNTIF(C30:AE30,"〇/休")+COUNTIF(C30:AE30,"休/○")+COUNTIF(C30:AE30,"休/〇"))</f>
        <v>0</v>
      </c>
      <c r="AG30" s="7">
        <f>COUNTIF(C30:AE30,"有")+0.5*(COUNTIF(C30:AE30,"○/有")+COUNTIF(C30:AE30,"〇/有")+COUNTIF(C30:AE30,"有/○")+COUNTIF(C30:AE30,"有/〇"))</f>
        <v>0</v>
      </c>
      <c r="AH30" s="5"/>
    </row>
    <row r="31" ht="20" customHeight="1">
      <c r="A31" s="5">
        <v>28</v>
      </c>
      <c r="B31" s="6" t="inlineStr">
        <is>
          <t>スタッフ 28</t>
        </is>
      </c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7">
        <f>COUNTIF(C31:AE31,"休")+0.5*(COUNTIF(C31:AE31,"○/休")+COUNTIF(C31:AE31,"〇/休")+COUNTIF(C31:AE31,"休/○")+COUNTIF(C31:AE31,"休/〇"))</f>
        <v>0</v>
      </c>
      <c r="AG31" s="7">
        <f>COUNTIF(C31:AE31,"有")+0.5*(COUNTIF(C31:AE31,"○/有")+COUNTIF(C31:AE31,"〇/有")+COUNTIF(C31:AE31,"有/○")+COUNTIF(C31:AE31,"有/〇"))</f>
        <v>0</v>
      </c>
      <c r="AH31" s="5"/>
    </row>
    <row r="32" ht="20" customHeight="1">
      <c r="A32" s="5">
        <v>29</v>
      </c>
      <c r="B32" s="6" t="inlineStr">
        <is>
          <t>スタッフ 29</t>
        </is>
      </c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7">
        <f>COUNTIF(C32:AE32,"休")+0.5*(COUNTIF(C32:AE32,"○/休")+COUNTIF(C32:AE32,"〇/休")+COUNTIF(C32:AE32,"休/○")+COUNTIF(C32:AE32,"休/〇"))</f>
        <v>0</v>
      </c>
      <c r="AG32" s="7">
        <f>COUNTIF(C32:AE32,"有")+0.5*(COUNTIF(C32:AE32,"○/有")+COUNTIF(C32:AE32,"〇/有")+COUNTIF(C32:AE32,"有/○")+COUNTIF(C32:AE32,"有/〇"))</f>
        <v>0</v>
      </c>
      <c r="AH32" s="5"/>
    </row>
    <row r="33" ht="20" customHeight="1">
      <c r="A33" s="5">
        <v>30</v>
      </c>
      <c r="B33" s="6" t="inlineStr">
        <is>
          <t>スタッフ 30</t>
        </is>
      </c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7">
        <f>COUNTIF(C33:AE33,"休")+0.5*(COUNTIF(C33:AE33,"○/休")+COUNTIF(C33:AE33,"〇/休")+COUNTIF(C33:AE33,"休/○")+COUNTIF(C33:AE33,"休/〇"))</f>
        <v>0</v>
      </c>
      <c r="AG33" s="7">
        <f>COUNTIF(C33:AE33,"有")+0.5*(COUNTIF(C33:AE33,"○/有")+COUNTIF(C33:AE33,"〇/有")+COUNTIF(C33:AE33,"有/○")+COUNTIF(C33:AE33,"有/〇"))</f>
        <v>0</v>
      </c>
      <c r="AH33" s="5"/>
    </row>
  </sheetData>
  <dataValidations count="1">
    <dataValidation type="list" allowBlank="1" showInputMessage="1" showErrorMessage="1" sqref="C4:AE33" promptTitle="希望勤務の選択" prompt="プルダウンから希望勤務記号を選択してください。" errorTitle="入力値エラー" error="一覧（プルダウン）にある記号のみ入力できます。">
      <formula1>"休,有,○,出,早,遅,E,8時,ハヤ,オソ,イブ,○/休,休/○,○/有,有/○,上1,上2,上3,上4,上5,下1,下2,下3,ー"</formula1>
    </dataValidation>
  </dataValidations>
  <pageMargins left="0.7" right="0.7" top="0.75" bottom="0.75" header="0.3" footer="0.3"/>
</worksheet>
</file>