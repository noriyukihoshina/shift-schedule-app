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026年4月勤務表" sheetId="1" r:id="rId1"/>
  </sheets>
</workbook>
</file>

<file path=xl/styles.xml><?xml version="1.0" encoding="utf-8"?>
<styleSheet xmlns="http://schemas.openxmlformats.org/spreadsheetml/2006/main">
  <fonts count="10">
    <font>
      <sz val="9"/>
      <name val="Meiryo"/>
      <color rgb="FF000000"/>
    </font>
    <font>
      <b/>
      <sz val="9"/>
      <name val="Meiryo"/>
      <color rgb="FF000000"/>
    </font>
    <font>
      <b/>
      <sz val="9"/>
      <name val="Meiryo"/>
      <color rgb="FFDC2626"/>
    </font>
    <font>
      <b/>
      <sz val="12"/>
      <name val="Meiryo"/>
      <color rgb="FF1E293B"/>
    </font>
    <font>
      <b/>
      <sz val="9"/>
      <name val="Meiryo"/>
      <color rgb="FFEA580C"/>
    </font>
    <font>
      <b/>
      <sz val="9"/>
      <name val="Meiryo"/>
      <color rgb="FF1D4ED8"/>
    </font>
    <font>
      <b/>
      <sz val="9"/>
      <name val="Meiryo"/>
      <color rgb="FFEC4899"/>
    </font>
    <font>
      <b/>
      <sz val="9"/>
      <name val="Meiryo"/>
      <color rgb="FF334155"/>
    </font>
    <font>
      <b/>
      <sz val="9"/>
      <name val="Meiryo"/>
      <color rgb="FF0284C7"/>
    </font>
    <font>
      <b/>
      <sz val="9"/>
      <name val="Meiryo"/>
      <color rgb="FFE11D48"/>
    </font>
  </fonts>
  <fills count="6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E0F2FE"/>
      </patternFill>
    </fill>
    <fill>
      <patternFill patternType="solid">
        <fgColor rgb="FFFFE4E6"/>
      </patternFill>
    </fill>
    <fill>
      <patternFill patternType="solid">
        <fgColor rgb="FFF8FAFC"/>
      </patternFill>
    </fill>
  </fills>
  <borders count="2">
    <border>
      <left/>
      <right/>
      <top/>
      <bottom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>
      <alignment horizontal="left" vertical="center"/>
    </xf>
    <xf numFmtId="0" fontId="1" fillId="2" borderId="1" xfId="0">
      <alignment horizontal="center" vertical="center"/>
    </xf>
    <xf numFmtId="0" fontId="8" fillId="3" borderId="1" xfId="0">
      <alignment horizontal="center" vertical="center"/>
    </xf>
    <xf numFmtId="0" fontId="9" fillId="4" borderId="1" xfId="0">
      <alignment horizontal="center" vertical="center"/>
    </xf>
    <xf numFmtId="0" fontId="1" fillId="0" borderId="1" xfId="0">
      <alignment horizontal="left" vertical="center"/>
    </xf>
    <xf numFmtId="0" fontId="0" fillId="0" borderId="1" xfId="0">
      <alignment horizontal="center" vertical="center"/>
    </xf>
    <xf numFmtId="0" fontId="2" fillId="0" borderId="1" xfId="0">
      <alignment horizontal="center" vertical="center"/>
    </xf>
    <xf numFmtId="0" fontId="1" fillId="0" borderId="1" xfId="0">
      <alignment horizontal="center" vertical="center"/>
    </xf>
    <xf numFmtId="0" fontId="1" fillId="5" borderId="1" xfId="0">
      <alignment horizontal="center" vertical="center"/>
    </xf>
    <xf numFmtId="0" fontId="4" fillId="0" borderId="1" xfId="0">
      <alignment horizontal="center" vertical="center"/>
    </xf>
    <xf numFmtId="0" fontId="5" fillId="0" borderId="1" xfId="0">
      <alignment horizontal="center" vertical="center"/>
    </xf>
    <xf numFmtId="0" fontId="6" fillId="0" borderId="1" xfId="0">
      <alignment horizontal="center" vertical="center"/>
    </xf>
    <xf numFmtId="0" fontId="7" fillId="0" borderId="1" xfId="0">
      <alignment horizontal="center" vertical="center"/>
    </xf>
    <xf numFmtId="0" fontId="1" fillId="0" borderId="1" xfId="0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pageSetUpPr fitToPage="1"/>
  </sheetPr>
  <sheetViews>
    <sheetView tabSelected="1" workbookViewId="0"/>
  </sheetViews>
  <sheetFormatPr defaultRowHeight="18"/>
  <cols>
    <col min="1" max="1" width="16" customWidth="1"/>
    <!-- A: 氏名 (約115px、A3縦横比最適化) -->
    <col min="2" max="29" width="4.0" customWidth="1"/>
    <!-- B〜AC: 28日分 (33ピクセル固定) -->
    <col min="30" max="33" width="7" customWidth="1"/>
    <!-- AD〜AG: 出勤, 公休, 有休, リフ (黒字) -->
    <col min="34" max="37" width="4.0" customWidth="1"/>
    <!-- AH〜AK: 早, 遅, E, 8時 (33ピクセル固定) -->
  </cols>
  <sheetData>
    <!-- 1行目: タイトル -->
    <row r="1" ht="24" customHeight="1">
      <c r="A1" s="1" t="inlineStr">
        <is>
          <t>2026年4月勤務表</t>
        </is>
      </c>
    </row>
    <!-- 2行目: 日付ヘッダー行 -->
    <row r="2" ht="20" customHeight="1">
      <c r="A2" s="2" t="inlineStr">
        <is>
          <t>氏名</t>
        </is>
      </c>
      <c r="B2" s="2" t="inlineStr">
        <is>
          <t>4/1</t>
        </is>
      </c>
      <c r="C2" s="2" t="inlineStr">
        <is>
          <t>4/2</t>
        </is>
      </c>
      <c r="D2" s="2" t="inlineStr">
        <is>
          <t>4/3</t>
        </is>
      </c>
      <c r="E2" s="2" t="inlineStr">
        <is>
          <t>4/4</t>
        </is>
      </c>
      <c r="F2" s="2" t="inlineStr">
        <is>
          <t>4/5</t>
        </is>
      </c>
      <c r="G2" s="2" t="inlineStr">
        <is>
          <t>4/6</t>
        </is>
      </c>
      <c r="H2" s="2" t="inlineStr">
        <is>
          <t>4/7</t>
        </is>
      </c>
      <c r="I2" s="2" t="inlineStr">
        <is>
          <t>4/8</t>
        </is>
      </c>
      <c r="J2" s="2" t="inlineStr">
        <is>
          <t>4/9</t>
        </is>
      </c>
      <c r="K2" s="2" t="inlineStr">
        <is>
          <t>4/10</t>
        </is>
      </c>
      <c r="L2" s="2" t="inlineStr">
        <is>
          <t>4/11</t>
        </is>
      </c>
      <c r="M2" s="2" t="inlineStr">
        <is>
          <t>4/12</t>
        </is>
      </c>
      <c r="N2" s="2" t="inlineStr">
        <is>
          <t>4/13</t>
        </is>
      </c>
      <c r="O2" s="2" t="inlineStr">
        <is>
          <t>4/14</t>
        </is>
      </c>
      <c r="P2" s="2" t="inlineStr">
        <is>
          <t>4/15</t>
        </is>
      </c>
      <c r="Q2" s="2" t="inlineStr">
        <is>
          <t>4/16</t>
        </is>
      </c>
      <c r="R2" s="2" t="inlineStr">
        <is>
          <t>4/17</t>
        </is>
      </c>
      <c r="S2" s="2" t="inlineStr">
        <is>
          <t>4/18</t>
        </is>
      </c>
      <c r="T2" s="2" t="inlineStr">
        <is>
          <t>4/19</t>
        </is>
      </c>
      <c r="U2" s="2" t="inlineStr">
        <is>
          <t>4/20</t>
        </is>
      </c>
      <c r="V2" s="2" t="inlineStr">
        <is>
          <t>4/21</t>
        </is>
      </c>
      <c r="W2" s="2" t="inlineStr">
        <is>
          <t>4/22</t>
        </is>
      </c>
      <c r="X2" s="2" t="inlineStr">
        <is>
          <t>4/23</t>
        </is>
      </c>
      <c r="Y2" s="2" t="inlineStr">
        <is>
          <t>4/24</t>
        </is>
      </c>
      <c r="Z2" s="2" t="inlineStr">
        <is>
          <t>4/25</t>
        </is>
      </c>
      <c r="AA2" s="2" t="inlineStr">
        <is>
          <t>4/26</t>
        </is>
      </c>
      <c r="AB2" s="2" t="inlineStr">
        <is>
          <t>4/27</t>
        </is>
      </c>
      <c r="AC2" s="2" t="inlineStr">
        <is>
          <t>4/28</t>
        </is>
      </c>
      <c r="AD2" s="2" t="inlineStr">
        <is>
          <t>出勤</t>
        </is>
      </c>
      <c r="AE2" s="2" t="inlineStr">
        <is>
          <t>公休</t>
        </is>
      </c>
      <c r="AF2" s="2" t="inlineStr">
        <is>
          <t>有休</t>
        </is>
      </c>
      <c r="AG2" s="2" t="inlineStr">
        <is>
          <t>リフ</t>
        </is>
      </c>
      <c r="AH2" s="2" t="inlineStr">
        <is>
          <t>早</t>
        </is>
      </c>
      <c r="AI2" s="2" t="inlineStr">
        <is>
          <t>遅</t>
        </is>
      </c>
      <c r="AJ2" s="2" t="inlineStr">
        <is>
          <t>E</t>
        </is>
      </c>
      <c r="AK2" s="2" t="inlineStr">
        <is>
          <t>8時</t>
        </is>
      </c>
    </row>
    <row r="3" ht="18" customHeight="1">
      <c r="A3" s="2"/>
      <c r="B3" s="2" t="inlineStr">
        <is>
          <t>水</t>
        </is>
      </c>
      <c r="C3" s="2" t="inlineStr">
        <is>
          <t>木</t>
        </is>
      </c>
      <c r="D3" s="3" t="inlineStr">
        <is>
          <t>金</t>
        </is>
      </c>
      <c r="E3" s="4" t="inlineStr">
        <is>
          <t>土</t>
        </is>
      </c>
      <c r="F3" s="4" t="inlineStr">
        <is>
          <t>日</t>
        </is>
      </c>
      <c r="G3" s="2" t="inlineStr">
        <is>
          <t>月</t>
        </is>
      </c>
      <c r="H3" s="2" t="inlineStr">
        <is>
          <t>火</t>
        </is>
      </c>
      <c r="I3" s="2" t="inlineStr">
        <is>
          <t>水</t>
        </is>
      </c>
      <c r="J3" s="2" t="inlineStr">
        <is>
          <t>木</t>
        </is>
      </c>
      <c r="K3" s="3" t="inlineStr">
        <is>
          <t>金</t>
        </is>
      </c>
      <c r="L3" s="4" t="inlineStr">
        <is>
          <t>土</t>
        </is>
      </c>
      <c r="M3" s="4" t="inlineStr">
        <is>
          <t>日</t>
        </is>
      </c>
      <c r="N3" s="2" t="inlineStr">
        <is>
          <t>月</t>
        </is>
      </c>
      <c r="O3" s="2" t="inlineStr">
        <is>
          <t>火</t>
        </is>
      </c>
      <c r="P3" s="2" t="inlineStr">
        <is>
          <t>水</t>
        </is>
      </c>
      <c r="Q3" s="2" t="inlineStr">
        <is>
          <t>木</t>
        </is>
      </c>
      <c r="R3" s="3" t="inlineStr">
        <is>
          <t>金</t>
        </is>
      </c>
      <c r="S3" s="4" t="inlineStr">
        <is>
          <t>土</t>
        </is>
      </c>
      <c r="T3" s="4" t="inlineStr">
        <is>
          <t>日</t>
        </is>
      </c>
      <c r="U3" s="2" t="inlineStr">
        <is>
          <t>月</t>
        </is>
      </c>
      <c r="V3" s="2" t="inlineStr">
        <is>
          <t>火</t>
        </is>
      </c>
      <c r="W3" s="2" t="inlineStr">
        <is>
          <t>水</t>
        </is>
      </c>
      <c r="X3" s="2" t="inlineStr">
        <is>
          <t>木</t>
        </is>
      </c>
      <c r="Y3" s="3" t="inlineStr">
        <is>
          <t>金</t>
        </is>
      </c>
      <c r="Z3" s="4" t="inlineStr">
        <is>
          <t>土</t>
        </is>
      </c>
      <c r="AA3" s="4" t="inlineStr">
        <is>
          <t>日</t>
        </is>
      </c>
      <c r="AB3" s="2" t="inlineStr">
        <is>
          <t>月</t>
        </is>
      </c>
      <c r="AC3" s="2" t="inlineStr">
        <is>
          <t>火</t>
        </is>
      </c>
      <c r="AD3" s="2"/>
      <c r="AE3" s="2"/>
      <c r="AF3" s="2"/>
      <c r="AG3" s="2"/>
      <c r="AH3" s="2"/>
      <c r="AI3" s="2"/>
      <c r="AJ3" s="2"/>
      <c r="AK3" s="2"/>
    </row>
    <row r="4" ht="20" customHeight="1">
      <c r="A4" s="5" t="inlineStr">
        <is>
          <t>スタッフ1</t>
        </is>
      </c>
      <c r="B4" s="6" t="inlineStr">
        <is>
          <t>〇</t>
        </is>
      </c>
      <c r="C4" s="6" t="inlineStr">
        <is>
          <t>〇</t>
        </is>
      </c>
      <c r="D4" s="6" t="inlineStr">
        <is>
          <t>〇</t>
        </is>
      </c>
      <c r="E4" s="6" t="inlineStr">
        <is>
          <t>〇</t>
        </is>
      </c>
      <c r="F4" s="6" t="inlineStr">
        <is>
          <t>〇</t>
        </is>
      </c>
      <c r="G4" s="6" t="inlineStr">
        <is>
          <t>〇</t>
        </is>
      </c>
      <c r="H4" s="6" t="inlineStr">
        <is>
          <t>〇</t>
        </is>
      </c>
      <c r="I4" s="6" t="inlineStr">
        <is>
          <t>〇</t>
        </is>
      </c>
      <c r="J4" s="6" t="inlineStr">
        <is>
          <t>〇</t>
        </is>
      </c>
      <c r="K4" s="6" t="inlineStr">
        <is>
          <t>〇</t>
        </is>
      </c>
      <c r="L4" s="6" t="inlineStr">
        <is>
          <t>〇</t>
        </is>
      </c>
      <c r="M4" s="6" t="inlineStr">
        <is>
          <t>〇</t>
        </is>
      </c>
      <c r="N4" s="6" t="inlineStr">
        <is>
          <t>〇</t>
        </is>
      </c>
      <c r="O4" s="6" t="inlineStr">
        <is>
          <t>〇</t>
        </is>
      </c>
      <c r="P4" s="6" t="inlineStr">
        <is>
          <t>〇</t>
        </is>
      </c>
      <c r="Q4" s="6" t="inlineStr">
        <is>
          <t>〇</t>
        </is>
      </c>
      <c r="R4" s="6" t="inlineStr">
        <is>
          <t>〇</t>
        </is>
      </c>
      <c r="S4" s="6" t="inlineStr">
        <is>
          <t>〇</t>
        </is>
      </c>
      <c r="T4" s="6" t="inlineStr">
        <is>
          <t>〇</t>
        </is>
      </c>
      <c r="U4" s="6" t="inlineStr">
        <is>
          <t>〇</t>
        </is>
      </c>
      <c r="V4" s="6" t="inlineStr">
        <is>
          <t>〇</t>
        </is>
      </c>
      <c r="W4" s="6" t="inlineStr">
        <is>
          <t>〇</t>
        </is>
      </c>
      <c r="X4" s="6" t="inlineStr">
        <is>
          <t>〇</t>
        </is>
      </c>
      <c r="Y4" s="6" t="inlineStr">
        <is>
          <t>〇</t>
        </is>
      </c>
      <c r="Z4" s="6" t="inlineStr">
        <is>
          <t>〇</t>
        </is>
      </c>
      <c r="AA4" s="6" t="inlineStr">
        <is>
          <t>〇</t>
        </is>
      </c>
      <c r="AB4" s="6" t="inlineStr">
        <is>
          <t>〇</t>
        </is>
      </c>
      <c r="AC4" s="6" t="inlineStr">
        <is>
          <t>〇</t>
        </is>
      </c>
      <c r="AD4" s="8">
        <f>SUM(COUNTIF(B4:AC4,"○"),COUNTIF(B4:AC4,"〇"),COUNTIF(B4:AC4,"出"),COUNTIF(B4:AC4,"早"),COUNTIF(B4:AC4,"遅"),COUNTIF(B4:AC4,"E"),COUNTIF(B4:AC4,"8時"),COUNTIF(B4:AC4,"ハヤ"),COUNTIF(B4:AC4,"オソ"),COUNTIF(B4:AC4,"イブ"))</f>
        <v>0</v>
      </c>
      <c r="AE4" s="8">
        <f>COUNTIF(B4:AC4,"休")+0.5*(COUNTIF(B4:AC4,"○/休")+COUNTIF(B4:AC4,"〇/休")+COUNTIF(B4:AC4,"休/○")+COUNTIF(B4:AC4,"休/〇"))</f>
        <v>0</v>
      </c>
      <c r="AF4" s="8">
        <f>COUNTIF(B4:AC4,"有")+0.5*(COUNTIF(B4:AC4,"○/有")+COUNTIF(B4:AC4,"〇/有")+COUNTIF(B4:AC4,"有/○")+COUNTIF(B4:AC4,"有/〇"))</f>
        <v>0</v>
      </c>
      <c r="AG4" s="8">
        <f>COUNTIF(B4:AC4,"上1")+COUNTIF(B4:AC4,"上2")+COUNTIF(B4:AC4,"上3")+COUNTIF(B4:AC4,"上4")+COUNTIF(B4:AC4,"上5")+COUNTIF(B4:AC4,"下1")+COUNTIF(B4:AC4,"下2")+COUNTIF(B4:AC4,"下3")</f>
        <v>0</v>
      </c>
      <c r="AH4" s="13">
        <f>COUNTIF(B4:AC4,"早")+COUNTIF(B4:AC4,"ハヤ")</f>
        <v>0</v>
      </c>
      <c r="AI4" s="13">
        <f>COUNTIF(B4:AC4,"遅")+COUNTIF(B4:AC4,"オソ")</f>
        <v>0</v>
      </c>
      <c r="AJ4" s="13">
        <f>COUNTIF(B4:AC4,"E")+COUNTIF(B4:AC4,"イブ")</f>
        <v>0</v>
      </c>
      <c r="AK4" s="13">
        <f>COUNTIF(B4:AC4,"8時")</f>
        <v>0</v>
      </c>
    </row>
    <row r="5" ht="20" customHeight="1">
      <c r="A5" s="5" t="inlineStr">
        <is>
          <t>スタッフ2</t>
        </is>
      </c>
      <c r="B5" s="6" t="inlineStr">
        <is>
          <t>〇</t>
        </is>
      </c>
      <c r="C5" s="6" t="inlineStr">
        <is>
          <t>〇</t>
        </is>
      </c>
      <c r="D5" s="6" t="inlineStr">
        <is>
          <t>〇</t>
        </is>
      </c>
      <c r="E5" s="6" t="inlineStr">
        <is>
          <t>〇</t>
        </is>
      </c>
      <c r="F5" s="6" t="inlineStr">
        <is>
          <t>〇</t>
        </is>
      </c>
      <c r="G5" s="6" t="inlineStr">
        <is>
          <t>〇</t>
        </is>
      </c>
      <c r="H5" s="6" t="inlineStr">
        <is>
          <t>〇</t>
        </is>
      </c>
      <c r="I5" s="6" t="inlineStr">
        <is>
          <t>〇</t>
        </is>
      </c>
      <c r="J5" s="6" t="inlineStr">
        <is>
          <t>〇</t>
        </is>
      </c>
      <c r="K5" s="6" t="inlineStr">
        <is>
          <t>〇</t>
        </is>
      </c>
      <c r="L5" s="6" t="inlineStr">
        <is>
          <t>〇</t>
        </is>
      </c>
      <c r="M5" s="6" t="inlineStr">
        <is>
          <t>〇</t>
        </is>
      </c>
      <c r="N5" s="6" t="inlineStr">
        <is>
          <t>〇</t>
        </is>
      </c>
      <c r="O5" s="6" t="inlineStr">
        <is>
          <t>〇</t>
        </is>
      </c>
      <c r="P5" s="6" t="inlineStr">
        <is>
          <t>〇</t>
        </is>
      </c>
      <c r="Q5" s="6" t="inlineStr">
        <is>
          <t>〇</t>
        </is>
      </c>
      <c r="R5" s="6" t="inlineStr">
        <is>
          <t>〇</t>
        </is>
      </c>
      <c r="S5" s="6" t="inlineStr">
        <is>
          <t>〇</t>
        </is>
      </c>
      <c r="T5" s="6" t="inlineStr">
        <is>
          <t>〇</t>
        </is>
      </c>
      <c r="U5" s="6" t="inlineStr">
        <is>
          <t>〇</t>
        </is>
      </c>
      <c r="V5" s="6" t="inlineStr">
        <is>
          <t>〇</t>
        </is>
      </c>
      <c r="W5" s="6" t="inlineStr">
        <is>
          <t>〇</t>
        </is>
      </c>
      <c r="X5" s="6" t="inlineStr">
        <is>
          <t>〇</t>
        </is>
      </c>
      <c r="Y5" s="6" t="inlineStr">
        <is>
          <t>〇</t>
        </is>
      </c>
      <c r="Z5" s="6" t="inlineStr">
        <is>
          <t>〇</t>
        </is>
      </c>
      <c r="AA5" s="6" t="inlineStr">
        <is>
          <t>〇</t>
        </is>
      </c>
      <c r="AB5" s="6" t="inlineStr">
        <is>
          <t>〇</t>
        </is>
      </c>
      <c r="AC5" s="6" t="inlineStr">
        <is>
          <t>〇</t>
        </is>
      </c>
      <c r="AD5" s="8">
        <f>SUM(COUNTIF(B5:AC5,"○"),COUNTIF(B5:AC5,"〇"),COUNTIF(B5:AC5,"出"),COUNTIF(B5:AC5,"早"),COUNTIF(B5:AC5,"遅"),COUNTIF(B5:AC5,"E"),COUNTIF(B5:AC5,"8時"),COUNTIF(B5:AC5,"ハヤ"),COUNTIF(B5:AC5,"オソ"),COUNTIF(B5:AC5,"イブ"))</f>
        <v>0</v>
      </c>
      <c r="AE5" s="8">
        <f>COUNTIF(B5:AC5,"休")+0.5*(COUNTIF(B5:AC5,"○/休")+COUNTIF(B5:AC5,"〇/休")+COUNTIF(B5:AC5,"休/○")+COUNTIF(B5:AC5,"休/〇"))</f>
        <v>0</v>
      </c>
      <c r="AF5" s="8">
        <f>COUNTIF(B5:AC5,"有")+0.5*(COUNTIF(B5:AC5,"○/有")+COUNTIF(B5:AC5,"〇/有")+COUNTIF(B5:AC5,"有/○")+COUNTIF(B5:AC5,"有/〇"))</f>
        <v>0</v>
      </c>
      <c r="AG5" s="8">
        <f>COUNTIF(B5:AC5,"上1")+COUNTIF(B5:AC5,"上2")+COUNTIF(B5:AC5,"上3")+COUNTIF(B5:AC5,"上4")+COUNTIF(B5:AC5,"上5")+COUNTIF(B5:AC5,"下1")+COUNTIF(B5:AC5,"下2")+COUNTIF(B5:AC5,"下3")</f>
        <v>0</v>
      </c>
      <c r="AH5" s="13">
        <f>COUNTIF(B5:AC5,"早")+COUNTIF(B5:AC5,"ハヤ")</f>
        <v>0</v>
      </c>
      <c r="AI5" s="13">
        <f>COUNTIF(B5:AC5,"遅")+COUNTIF(B5:AC5,"オソ")</f>
        <v>0</v>
      </c>
      <c r="AJ5" s="13">
        <f>COUNTIF(B5:AC5,"E")+COUNTIF(B5:AC5,"イブ")</f>
        <v>0</v>
      </c>
      <c r="AK5" s="13">
        <f>COUNTIF(B5:AC5,"8時")</f>
        <v>0</v>
      </c>
    </row>
    <row r="6" ht="20" customHeight="1">
      <c r="A6" s="5" t="inlineStr">
        <is>
          <t>スタッフ3</t>
        </is>
      </c>
      <c r="B6" s="6" t="inlineStr">
        <is>
          <t>〇</t>
        </is>
      </c>
      <c r="C6" s="6" t="inlineStr">
        <is>
          <t>〇</t>
        </is>
      </c>
      <c r="D6" s="6" t="inlineStr">
        <is>
          <t>〇</t>
        </is>
      </c>
      <c r="E6" s="6" t="inlineStr">
        <is>
          <t>〇</t>
        </is>
      </c>
      <c r="F6" s="6" t="inlineStr">
        <is>
          <t>〇</t>
        </is>
      </c>
      <c r="G6" s="6" t="inlineStr">
        <is>
          <t>〇</t>
        </is>
      </c>
      <c r="H6" s="6" t="inlineStr">
        <is>
          <t>〇</t>
        </is>
      </c>
      <c r="I6" s="6" t="inlineStr">
        <is>
          <t>〇</t>
        </is>
      </c>
      <c r="J6" s="6" t="inlineStr">
        <is>
          <t>〇</t>
        </is>
      </c>
      <c r="K6" s="6" t="inlineStr">
        <is>
          <t>〇</t>
        </is>
      </c>
      <c r="L6" s="6" t="inlineStr">
        <is>
          <t>〇</t>
        </is>
      </c>
      <c r="M6" s="6" t="inlineStr">
        <is>
          <t>〇</t>
        </is>
      </c>
      <c r="N6" s="6" t="inlineStr">
        <is>
          <t>〇</t>
        </is>
      </c>
      <c r="O6" s="6" t="inlineStr">
        <is>
          <t>〇</t>
        </is>
      </c>
      <c r="P6" s="6" t="inlineStr">
        <is>
          <t>〇</t>
        </is>
      </c>
      <c r="Q6" s="6" t="inlineStr">
        <is>
          <t>〇</t>
        </is>
      </c>
      <c r="R6" s="6" t="inlineStr">
        <is>
          <t>〇</t>
        </is>
      </c>
      <c r="S6" s="6" t="inlineStr">
        <is>
          <t>〇</t>
        </is>
      </c>
      <c r="T6" s="6" t="inlineStr">
        <is>
          <t>〇</t>
        </is>
      </c>
      <c r="U6" s="6" t="inlineStr">
        <is>
          <t>〇</t>
        </is>
      </c>
      <c r="V6" s="6" t="inlineStr">
        <is>
          <t>〇</t>
        </is>
      </c>
      <c r="W6" s="6" t="inlineStr">
        <is>
          <t>〇</t>
        </is>
      </c>
      <c r="X6" s="6" t="inlineStr">
        <is>
          <t>〇</t>
        </is>
      </c>
      <c r="Y6" s="6" t="inlineStr">
        <is>
          <t>〇</t>
        </is>
      </c>
      <c r="Z6" s="6" t="inlineStr">
        <is>
          <t>〇</t>
        </is>
      </c>
      <c r="AA6" s="6" t="inlineStr">
        <is>
          <t>〇</t>
        </is>
      </c>
      <c r="AB6" s="6" t="inlineStr">
        <is>
          <t>〇</t>
        </is>
      </c>
      <c r="AC6" s="6" t="inlineStr">
        <is>
          <t>〇</t>
        </is>
      </c>
      <c r="AD6" s="8">
        <f>SUM(COUNTIF(B6:AC6,"○"),COUNTIF(B6:AC6,"〇"),COUNTIF(B6:AC6,"出"),COUNTIF(B6:AC6,"早"),COUNTIF(B6:AC6,"遅"),COUNTIF(B6:AC6,"E"),COUNTIF(B6:AC6,"8時"),COUNTIF(B6:AC6,"ハヤ"),COUNTIF(B6:AC6,"オソ"),COUNTIF(B6:AC6,"イブ"))</f>
        <v>0</v>
      </c>
      <c r="AE6" s="8">
        <f>COUNTIF(B6:AC6,"休")+0.5*(COUNTIF(B6:AC6,"○/休")+COUNTIF(B6:AC6,"〇/休")+COUNTIF(B6:AC6,"休/○")+COUNTIF(B6:AC6,"休/〇"))</f>
        <v>0</v>
      </c>
      <c r="AF6" s="8">
        <f>COUNTIF(B6:AC6,"有")+0.5*(COUNTIF(B6:AC6,"○/有")+COUNTIF(B6:AC6,"〇/有")+COUNTIF(B6:AC6,"有/○")+COUNTIF(B6:AC6,"有/〇"))</f>
        <v>0</v>
      </c>
      <c r="AG6" s="8">
        <f>COUNTIF(B6:AC6,"上1")+COUNTIF(B6:AC6,"上2")+COUNTIF(B6:AC6,"上3")+COUNTIF(B6:AC6,"上4")+COUNTIF(B6:AC6,"上5")+COUNTIF(B6:AC6,"下1")+COUNTIF(B6:AC6,"下2")+COUNTIF(B6:AC6,"下3")</f>
        <v>0</v>
      </c>
      <c r="AH6" s="13">
        <f>COUNTIF(B6:AC6,"早")+COUNTIF(B6:AC6,"ハヤ")</f>
        <v>0</v>
      </c>
      <c r="AI6" s="13">
        <f>COUNTIF(B6:AC6,"遅")+COUNTIF(B6:AC6,"オソ")</f>
        <v>0</v>
      </c>
      <c r="AJ6" s="13">
        <f>COUNTIF(B6:AC6,"E")+COUNTIF(B6:AC6,"イブ")</f>
        <v>0</v>
      </c>
      <c r="AK6" s="13">
        <f>COUNTIF(B6:AC6,"8時")</f>
        <v>0</v>
      </c>
    </row>
    <row r="7" ht="20" customHeight="1">
      <c r="A7" s="5" t="inlineStr">
        <is>
          <t>スタッフ4</t>
        </is>
      </c>
      <c r="B7" s="6" t="inlineStr">
        <is>
          <t>〇</t>
        </is>
      </c>
      <c r="C7" s="6" t="inlineStr">
        <is>
          <t>〇</t>
        </is>
      </c>
      <c r="D7" s="6" t="inlineStr">
        <is>
          <t>〇</t>
        </is>
      </c>
      <c r="E7" s="6" t="inlineStr">
        <is>
          <t>〇</t>
        </is>
      </c>
      <c r="F7" s="6" t="inlineStr">
        <is>
          <t>〇</t>
        </is>
      </c>
      <c r="G7" s="6" t="inlineStr">
        <is>
          <t>〇</t>
        </is>
      </c>
      <c r="H7" s="6" t="inlineStr">
        <is>
          <t>〇</t>
        </is>
      </c>
      <c r="I7" s="6" t="inlineStr">
        <is>
          <t>〇</t>
        </is>
      </c>
      <c r="J7" s="6" t="inlineStr">
        <is>
          <t>〇</t>
        </is>
      </c>
      <c r="K7" s="6" t="inlineStr">
        <is>
          <t>〇</t>
        </is>
      </c>
      <c r="L7" s="6" t="inlineStr">
        <is>
          <t>〇</t>
        </is>
      </c>
      <c r="M7" s="6" t="inlineStr">
        <is>
          <t>〇</t>
        </is>
      </c>
      <c r="N7" s="6" t="inlineStr">
        <is>
          <t>〇</t>
        </is>
      </c>
      <c r="O7" s="6" t="inlineStr">
        <is>
          <t>〇</t>
        </is>
      </c>
      <c r="P7" s="6" t="inlineStr">
        <is>
          <t>〇</t>
        </is>
      </c>
      <c r="Q7" s="6" t="inlineStr">
        <is>
          <t>〇</t>
        </is>
      </c>
      <c r="R7" s="6" t="inlineStr">
        <is>
          <t>〇</t>
        </is>
      </c>
      <c r="S7" s="6" t="inlineStr">
        <is>
          <t>〇</t>
        </is>
      </c>
      <c r="T7" s="6" t="inlineStr">
        <is>
          <t>〇</t>
        </is>
      </c>
      <c r="U7" s="6" t="inlineStr">
        <is>
          <t>〇</t>
        </is>
      </c>
      <c r="V7" s="6" t="inlineStr">
        <is>
          <t>〇</t>
        </is>
      </c>
      <c r="W7" s="6" t="inlineStr">
        <is>
          <t>〇</t>
        </is>
      </c>
      <c r="X7" s="6" t="inlineStr">
        <is>
          <t>〇</t>
        </is>
      </c>
      <c r="Y7" s="6" t="inlineStr">
        <is>
          <t>〇</t>
        </is>
      </c>
      <c r="Z7" s="6" t="inlineStr">
        <is>
          <t>〇</t>
        </is>
      </c>
      <c r="AA7" s="6" t="inlineStr">
        <is>
          <t>〇</t>
        </is>
      </c>
      <c r="AB7" s="6" t="inlineStr">
        <is>
          <t>〇</t>
        </is>
      </c>
      <c r="AC7" s="6" t="inlineStr">
        <is>
          <t>〇</t>
        </is>
      </c>
      <c r="AD7" s="8">
        <f>SUM(COUNTIF(B7:AC7,"○"),COUNTIF(B7:AC7,"〇"),COUNTIF(B7:AC7,"出"),COUNTIF(B7:AC7,"早"),COUNTIF(B7:AC7,"遅"),COUNTIF(B7:AC7,"E"),COUNTIF(B7:AC7,"8時"),COUNTIF(B7:AC7,"ハヤ"),COUNTIF(B7:AC7,"オソ"),COUNTIF(B7:AC7,"イブ"))</f>
        <v>0</v>
      </c>
      <c r="AE7" s="8">
        <f>COUNTIF(B7:AC7,"休")+0.5*(COUNTIF(B7:AC7,"○/休")+COUNTIF(B7:AC7,"〇/休")+COUNTIF(B7:AC7,"休/○")+COUNTIF(B7:AC7,"休/〇"))</f>
        <v>0</v>
      </c>
      <c r="AF7" s="8">
        <f>COUNTIF(B7:AC7,"有")+0.5*(COUNTIF(B7:AC7,"○/有")+COUNTIF(B7:AC7,"〇/有")+COUNTIF(B7:AC7,"有/○")+COUNTIF(B7:AC7,"有/〇"))</f>
        <v>0</v>
      </c>
      <c r="AG7" s="8">
        <f>COUNTIF(B7:AC7,"上1")+COUNTIF(B7:AC7,"上2")+COUNTIF(B7:AC7,"上3")+COUNTIF(B7:AC7,"上4")+COUNTIF(B7:AC7,"上5")+COUNTIF(B7:AC7,"下1")+COUNTIF(B7:AC7,"下2")+COUNTIF(B7:AC7,"下3")</f>
        <v>0</v>
      </c>
      <c r="AH7" s="13">
        <f>COUNTIF(B7:AC7,"早")+COUNTIF(B7:AC7,"ハヤ")</f>
        <v>0</v>
      </c>
      <c r="AI7" s="13">
        <f>COUNTIF(B7:AC7,"遅")+COUNTIF(B7:AC7,"オソ")</f>
        <v>0</v>
      </c>
      <c r="AJ7" s="13">
        <f>COUNTIF(B7:AC7,"E")+COUNTIF(B7:AC7,"イブ")</f>
        <v>0</v>
      </c>
      <c r="AK7" s="13">
        <f>COUNTIF(B7:AC7,"8時")</f>
        <v>0</v>
      </c>
    </row>
    <row r="8" ht="20" customHeight="1">
      <c r="A8" s="5" t="inlineStr">
        <is>
          <t>スタッフ5</t>
        </is>
      </c>
      <c r="B8" s="6" t="inlineStr">
        <is>
          <t>〇</t>
        </is>
      </c>
      <c r="C8" s="6" t="inlineStr">
        <is>
          <t>〇</t>
        </is>
      </c>
      <c r="D8" s="6" t="inlineStr">
        <is>
          <t>〇</t>
        </is>
      </c>
      <c r="E8" s="6" t="inlineStr">
        <is>
          <t>〇</t>
        </is>
      </c>
      <c r="F8" s="6" t="inlineStr">
        <is>
          <t>〇</t>
        </is>
      </c>
      <c r="G8" s="6" t="inlineStr">
        <is>
          <t>〇</t>
        </is>
      </c>
      <c r="H8" s="6" t="inlineStr">
        <is>
          <t>〇</t>
        </is>
      </c>
      <c r="I8" s="6" t="inlineStr">
        <is>
          <t>〇</t>
        </is>
      </c>
      <c r="J8" s="6" t="inlineStr">
        <is>
          <t>〇</t>
        </is>
      </c>
      <c r="K8" s="6" t="inlineStr">
        <is>
          <t>〇</t>
        </is>
      </c>
      <c r="L8" s="6" t="inlineStr">
        <is>
          <t>〇</t>
        </is>
      </c>
      <c r="M8" s="6" t="inlineStr">
        <is>
          <t>〇</t>
        </is>
      </c>
      <c r="N8" s="6" t="inlineStr">
        <is>
          <t>〇</t>
        </is>
      </c>
      <c r="O8" s="6" t="inlineStr">
        <is>
          <t>〇</t>
        </is>
      </c>
      <c r="P8" s="6" t="inlineStr">
        <is>
          <t>〇</t>
        </is>
      </c>
      <c r="Q8" s="6" t="inlineStr">
        <is>
          <t>〇</t>
        </is>
      </c>
      <c r="R8" s="6" t="inlineStr">
        <is>
          <t>〇</t>
        </is>
      </c>
      <c r="S8" s="6" t="inlineStr">
        <is>
          <t>〇</t>
        </is>
      </c>
      <c r="T8" s="6" t="inlineStr">
        <is>
          <t>〇</t>
        </is>
      </c>
      <c r="U8" s="6" t="inlineStr">
        <is>
          <t>〇</t>
        </is>
      </c>
      <c r="V8" s="6" t="inlineStr">
        <is>
          <t>〇</t>
        </is>
      </c>
      <c r="W8" s="6" t="inlineStr">
        <is>
          <t>〇</t>
        </is>
      </c>
      <c r="X8" s="6" t="inlineStr">
        <is>
          <t>〇</t>
        </is>
      </c>
      <c r="Y8" s="6" t="inlineStr">
        <is>
          <t>〇</t>
        </is>
      </c>
      <c r="Z8" s="6" t="inlineStr">
        <is>
          <t>〇</t>
        </is>
      </c>
      <c r="AA8" s="6" t="inlineStr">
        <is>
          <t>〇</t>
        </is>
      </c>
      <c r="AB8" s="6" t="inlineStr">
        <is>
          <t>〇</t>
        </is>
      </c>
      <c r="AC8" s="6" t="inlineStr">
        <is>
          <t>〇</t>
        </is>
      </c>
      <c r="AD8" s="8">
        <f>SUM(COUNTIF(B8:AC8,"○"),COUNTIF(B8:AC8,"〇"),COUNTIF(B8:AC8,"出"),COUNTIF(B8:AC8,"早"),COUNTIF(B8:AC8,"遅"),COUNTIF(B8:AC8,"E"),COUNTIF(B8:AC8,"8時"),COUNTIF(B8:AC8,"ハヤ"),COUNTIF(B8:AC8,"オソ"),COUNTIF(B8:AC8,"イブ"))</f>
        <v>0</v>
      </c>
      <c r="AE8" s="8">
        <f>COUNTIF(B8:AC8,"休")+0.5*(COUNTIF(B8:AC8,"○/休")+COUNTIF(B8:AC8,"〇/休")+COUNTIF(B8:AC8,"休/○")+COUNTIF(B8:AC8,"休/〇"))</f>
        <v>0</v>
      </c>
      <c r="AF8" s="8">
        <f>COUNTIF(B8:AC8,"有")+0.5*(COUNTIF(B8:AC8,"○/有")+COUNTIF(B8:AC8,"〇/有")+COUNTIF(B8:AC8,"有/○")+COUNTIF(B8:AC8,"有/〇"))</f>
        <v>0</v>
      </c>
      <c r="AG8" s="8">
        <f>COUNTIF(B8:AC8,"上1")+COUNTIF(B8:AC8,"上2")+COUNTIF(B8:AC8,"上3")+COUNTIF(B8:AC8,"上4")+COUNTIF(B8:AC8,"上5")+COUNTIF(B8:AC8,"下1")+COUNTIF(B8:AC8,"下2")+COUNTIF(B8:AC8,"下3")</f>
        <v>0</v>
      </c>
      <c r="AH8" s="13">
        <f>COUNTIF(B8:AC8,"早")+COUNTIF(B8:AC8,"ハヤ")</f>
        <v>0</v>
      </c>
      <c r="AI8" s="13">
        <f>COUNTIF(B8:AC8,"遅")+COUNTIF(B8:AC8,"オソ")</f>
        <v>0</v>
      </c>
      <c r="AJ8" s="13">
        <f>COUNTIF(B8:AC8,"E")+COUNTIF(B8:AC8,"イブ")</f>
        <v>0</v>
      </c>
      <c r="AK8" s="13">
        <f>COUNTIF(B8:AC8,"8時")</f>
        <v>0</v>
      </c>
    </row>
    <row r="9" ht="20" customHeight="1">
      <c r="A9" s="5" t="inlineStr">
        <is>
          <t>スタッフ6</t>
        </is>
      </c>
      <c r="B9" s="6" t="inlineStr">
        <is>
          <t>〇</t>
        </is>
      </c>
      <c r="C9" s="6" t="inlineStr">
        <is>
          <t>〇</t>
        </is>
      </c>
      <c r="D9" s="6" t="inlineStr">
        <is>
          <t>〇</t>
        </is>
      </c>
      <c r="E9" s="6" t="inlineStr">
        <is>
          <t>〇</t>
        </is>
      </c>
      <c r="F9" s="6" t="inlineStr">
        <is>
          <t>〇</t>
        </is>
      </c>
      <c r="G9" s="6" t="inlineStr">
        <is>
          <t>〇</t>
        </is>
      </c>
      <c r="H9" s="6" t="inlineStr">
        <is>
          <t>〇</t>
        </is>
      </c>
      <c r="I9" s="6" t="inlineStr">
        <is>
          <t>〇</t>
        </is>
      </c>
      <c r="J9" s="6" t="inlineStr">
        <is>
          <t>〇</t>
        </is>
      </c>
      <c r="K9" s="6" t="inlineStr">
        <is>
          <t>〇</t>
        </is>
      </c>
      <c r="L9" s="6" t="inlineStr">
        <is>
          <t>〇</t>
        </is>
      </c>
      <c r="M9" s="6" t="inlineStr">
        <is>
          <t>〇</t>
        </is>
      </c>
      <c r="N9" s="6" t="inlineStr">
        <is>
          <t>〇</t>
        </is>
      </c>
      <c r="O9" s="6" t="inlineStr">
        <is>
          <t>〇</t>
        </is>
      </c>
      <c r="P9" s="6" t="inlineStr">
        <is>
          <t>〇</t>
        </is>
      </c>
      <c r="Q9" s="6" t="inlineStr">
        <is>
          <t>〇</t>
        </is>
      </c>
      <c r="R9" s="6" t="inlineStr">
        <is>
          <t>〇</t>
        </is>
      </c>
      <c r="S9" s="6" t="inlineStr">
        <is>
          <t>〇</t>
        </is>
      </c>
      <c r="T9" s="6" t="inlineStr">
        <is>
          <t>〇</t>
        </is>
      </c>
      <c r="U9" s="6" t="inlineStr">
        <is>
          <t>〇</t>
        </is>
      </c>
      <c r="V9" s="6" t="inlineStr">
        <is>
          <t>〇</t>
        </is>
      </c>
      <c r="W9" s="6" t="inlineStr">
        <is>
          <t>〇</t>
        </is>
      </c>
      <c r="X9" s="6" t="inlineStr">
        <is>
          <t>〇</t>
        </is>
      </c>
      <c r="Y9" s="6" t="inlineStr">
        <is>
          <t>〇</t>
        </is>
      </c>
      <c r="Z9" s="6" t="inlineStr">
        <is>
          <t>〇</t>
        </is>
      </c>
      <c r="AA9" s="6" t="inlineStr">
        <is>
          <t>〇</t>
        </is>
      </c>
      <c r="AB9" s="6" t="inlineStr">
        <is>
          <t>〇</t>
        </is>
      </c>
      <c r="AC9" s="6" t="inlineStr">
        <is>
          <t>〇</t>
        </is>
      </c>
      <c r="AD9" s="8">
        <f>SUM(COUNTIF(B9:AC9,"○"),COUNTIF(B9:AC9,"〇"),COUNTIF(B9:AC9,"出"),COUNTIF(B9:AC9,"早"),COUNTIF(B9:AC9,"遅"),COUNTIF(B9:AC9,"E"),COUNTIF(B9:AC9,"8時"),COUNTIF(B9:AC9,"ハヤ"),COUNTIF(B9:AC9,"オソ"),COUNTIF(B9:AC9,"イブ"))</f>
        <v>0</v>
      </c>
      <c r="AE9" s="8">
        <f>COUNTIF(B9:AC9,"休")+0.5*(COUNTIF(B9:AC9,"○/休")+COUNTIF(B9:AC9,"〇/休")+COUNTIF(B9:AC9,"休/○")+COUNTIF(B9:AC9,"休/〇"))</f>
        <v>0</v>
      </c>
      <c r="AF9" s="8">
        <f>COUNTIF(B9:AC9,"有")+0.5*(COUNTIF(B9:AC9,"○/有")+COUNTIF(B9:AC9,"〇/有")+COUNTIF(B9:AC9,"有/○")+COUNTIF(B9:AC9,"有/〇"))</f>
        <v>0</v>
      </c>
      <c r="AG9" s="8">
        <f>COUNTIF(B9:AC9,"上1")+COUNTIF(B9:AC9,"上2")+COUNTIF(B9:AC9,"上3")+COUNTIF(B9:AC9,"上4")+COUNTIF(B9:AC9,"上5")+COUNTIF(B9:AC9,"下1")+COUNTIF(B9:AC9,"下2")+COUNTIF(B9:AC9,"下3")</f>
        <v>0</v>
      </c>
      <c r="AH9" s="13">
        <f>COUNTIF(B9:AC9,"早")+COUNTIF(B9:AC9,"ハヤ")</f>
        <v>0</v>
      </c>
      <c r="AI9" s="13">
        <f>COUNTIF(B9:AC9,"遅")+COUNTIF(B9:AC9,"オソ")</f>
        <v>0</v>
      </c>
      <c r="AJ9" s="13">
        <f>COUNTIF(B9:AC9,"E")+COUNTIF(B9:AC9,"イブ")</f>
        <v>0</v>
      </c>
      <c r="AK9" s="13">
        <f>COUNTIF(B9:AC9,"8時")</f>
        <v>0</v>
      </c>
    </row>
    <row r="10" ht="20" customHeight="1">
      <c r="A10" s="5" t="inlineStr">
        <is>
          <t>スタッフ7</t>
        </is>
      </c>
      <c r="B10" s="6" t="inlineStr">
        <is>
          <t>〇</t>
        </is>
      </c>
      <c r="C10" s="6" t="inlineStr">
        <is>
          <t>〇</t>
        </is>
      </c>
      <c r="D10" s="6" t="inlineStr">
        <is>
          <t>〇</t>
        </is>
      </c>
      <c r="E10" s="6" t="inlineStr">
        <is>
          <t>〇</t>
        </is>
      </c>
      <c r="F10" s="6" t="inlineStr">
        <is>
          <t>〇</t>
        </is>
      </c>
      <c r="G10" s="6" t="inlineStr">
        <is>
          <t>〇</t>
        </is>
      </c>
      <c r="H10" s="6" t="inlineStr">
        <is>
          <t>〇</t>
        </is>
      </c>
      <c r="I10" s="6" t="inlineStr">
        <is>
          <t>〇</t>
        </is>
      </c>
      <c r="J10" s="6" t="inlineStr">
        <is>
          <t>〇</t>
        </is>
      </c>
      <c r="K10" s="6" t="inlineStr">
        <is>
          <t>〇</t>
        </is>
      </c>
      <c r="L10" s="6" t="inlineStr">
        <is>
          <t>〇</t>
        </is>
      </c>
      <c r="M10" s="6" t="inlineStr">
        <is>
          <t>〇</t>
        </is>
      </c>
      <c r="N10" s="6" t="inlineStr">
        <is>
          <t>〇</t>
        </is>
      </c>
      <c r="O10" s="6" t="inlineStr">
        <is>
          <t>〇</t>
        </is>
      </c>
      <c r="P10" s="6" t="inlineStr">
        <is>
          <t>〇</t>
        </is>
      </c>
      <c r="Q10" s="6" t="inlineStr">
        <is>
          <t>〇</t>
        </is>
      </c>
      <c r="R10" s="6" t="inlineStr">
        <is>
          <t>〇</t>
        </is>
      </c>
      <c r="S10" s="6" t="inlineStr">
        <is>
          <t>〇</t>
        </is>
      </c>
      <c r="T10" s="6" t="inlineStr">
        <is>
          <t>〇</t>
        </is>
      </c>
      <c r="U10" s="6" t="inlineStr">
        <is>
          <t>〇</t>
        </is>
      </c>
      <c r="V10" s="6" t="inlineStr">
        <is>
          <t>〇</t>
        </is>
      </c>
      <c r="W10" s="6" t="inlineStr">
        <is>
          <t>〇</t>
        </is>
      </c>
      <c r="X10" s="6" t="inlineStr">
        <is>
          <t>〇</t>
        </is>
      </c>
      <c r="Y10" s="6" t="inlineStr">
        <is>
          <t>〇</t>
        </is>
      </c>
      <c r="Z10" s="6" t="inlineStr">
        <is>
          <t>〇</t>
        </is>
      </c>
      <c r="AA10" s="6" t="inlineStr">
        <is>
          <t>〇</t>
        </is>
      </c>
      <c r="AB10" s="6" t="inlineStr">
        <is>
          <t>〇</t>
        </is>
      </c>
      <c r="AC10" s="6" t="inlineStr">
        <is>
          <t>〇</t>
        </is>
      </c>
      <c r="AD10" s="8">
        <f>SUM(COUNTIF(B10:AC10,"○"),COUNTIF(B10:AC10,"〇"),COUNTIF(B10:AC10,"出"),COUNTIF(B10:AC10,"早"),COUNTIF(B10:AC10,"遅"),COUNTIF(B10:AC10,"E"),COUNTIF(B10:AC10,"8時"),COUNTIF(B10:AC10,"ハヤ"),COUNTIF(B10:AC10,"オソ"),COUNTIF(B10:AC10,"イブ"))</f>
        <v>0</v>
      </c>
      <c r="AE10" s="8">
        <f>COUNTIF(B10:AC10,"休")+0.5*(COUNTIF(B10:AC10,"○/休")+COUNTIF(B10:AC10,"〇/休")+COUNTIF(B10:AC10,"休/○")+COUNTIF(B10:AC10,"休/〇"))</f>
        <v>0</v>
      </c>
      <c r="AF10" s="8">
        <f>COUNTIF(B10:AC10,"有")+0.5*(COUNTIF(B10:AC10,"○/有")+COUNTIF(B10:AC10,"〇/有")+COUNTIF(B10:AC10,"有/○")+COUNTIF(B10:AC10,"有/〇"))</f>
        <v>0</v>
      </c>
      <c r="AG10" s="8">
        <f>COUNTIF(B10:AC10,"上1")+COUNTIF(B10:AC10,"上2")+COUNTIF(B10:AC10,"上3")+COUNTIF(B10:AC10,"上4")+COUNTIF(B10:AC10,"上5")+COUNTIF(B10:AC10,"下1")+COUNTIF(B10:AC10,"下2")+COUNTIF(B10:AC10,"下3")</f>
        <v>0</v>
      </c>
      <c r="AH10" s="13">
        <f>COUNTIF(B10:AC10,"早")+COUNTIF(B10:AC10,"ハヤ")</f>
        <v>0</v>
      </c>
      <c r="AI10" s="13">
        <f>COUNTIF(B10:AC10,"遅")+COUNTIF(B10:AC10,"オソ")</f>
        <v>0</v>
      </c>
      <c r="AJ10" s="13">
        <f>COUNTIF(B10:AC10,"E")+COUNTIF(B10:AC10,"イブ")</f>
        <v>0</v>
      </c>
      <c r="AK10" s="13">
        <f>COUNTIF(B10:AC10,"8時")</f>
        <v>0</v>
      </c>
    </row>
    <row r="11" ht="20" customHeight="1">
      <c r="A11" s="5" t="inlineStr">
        <is>
          <t>スタッフ8</t>
        </is>
      </c>
      <c r="B11" s="6" t="inlineStr">
        <is>
          <t>〇</t>
        </is>
      </c>
      <c r="C11" s="6" t="inlineStr">
        <is>
          <t>〇</t>
        </is>
      </c>
      <c r="D11" s="6" t="inlineStr">
        <is>
          <t>〇</t>
        </is>
      </c>
      <c r="E11" s="6" t="inlineStr">
        <is>
          <t>〇</t>
        </is>
      </c>
      <c r="F11" s="6" t="inlineStr">
        <is>
          <t>〇</t>
        </is>
      </c>
      <c r="G11" s="6" t="inlineStr">
        <is>
          <t>〇</t>
        </is>
      </c>
      <c r="H11" s="6" t="inlineStr">
        <is>
          <t>〇</t>
        </is>
      </c>
      <c r="I11" s="6" t="inlineStr">
        <is>
          <t>〇</t>
        </is>
      </c>
      <c r="J11" s="6" t="inlineStr">
        <is>
          <t>〇</t>
        </is>
      </c>
      <c r="K11" s="6" t="inlineStr">
        <is>
          <t>〇</t>
        </is>
      </c>
      <c r="L11" s="6" t="inlineStr">
        <is>
          <t>〇</t>
        </is>
      </c>
      <c r="M11" s="6" t="inlineStr">
        <is>
          <t>〇</t>
        </is>
      </c>
      <c r="N11" s="6" t="inlineStr">
        <is>
          <t>〇</t>
        </is>
      </c>
      <c r="O11" s="6" t="inlineStr">
        <is>
          <t>〇</t>
        </is>
      </c>
      <c r="P11" s="6" t="inlineStr">
        <is>
          <t>〇</t>
        </is>
      </c>
      <c r="Q11" s="6" t="inlineStr">
        <is>
          <t>〇</t>
        </is>
      </c>
      <c r="R11" s="6" t="inlineStr">
        <is>
          <t>〇</t>
        </is>
      </c>
      <c r="S11" s="6" t="inlineStr">
        <is>
          <t>〇</t>
        </is>
      </c>
      <c r="T11" s="6" t="inlineStr">
        <is>
          <t>〇</t>
        </is>
      </c>
      <c r="U11" s="6" t="inlineStr">
        <is>
          <t>〇</t>
        </is>
      </c>
      <c r="V11" s="6" t="inlineStr">
        <is>
          <t>〇</t>
        </is>
      </c>
      <c r="W11" s="6" t="inlineStr">
        <is>
          <t>〇</t>
        </is>
      </c>
      <c r="X11" s="6" t="inlineStr">
        <is>
          <t>〇</t>
        </is>
      </c>
      <c r="Y11" s="6" t="inlineStr">
        <is>
          <t>〇</t>
        </is>
      </c>
      <c r="Z11" s="6" t="inlineStr">
        <is>
          <t>〇</t>
        </is>
      </c>
      <c r="AA11" s="6" t="inlineStr">
        <is>
          <t>〇</t>
        </is>
      </c>
      <c r="AB11" s="6" t="inlineStr">
        <is>
          <t>〇</t>
        </is>
      </c>
      <c r="AC11" s="6" t="inlineStr">
        <is>
          <t>〇</t>
        </is>
      </c>
      <c r="AD11" s="8">
        <f>SUM(COUNTIF(B11:AC11,"○"),COUNTIF(B11:AC11,"〇"),COUNTIF(B11:AC11,"出"),COUNTIF(B11:AC11,"早"),COUNTIF(B11:AC11,"遅"),COUNTIF(B11:AC11,"E"),COUNTIF(B11:AC11,"8時"),COUNTIF(B11:AC11,"ハヤ"),COUNTIF(B11:AC11,"オソ"),COUNTIF(B11:AC11,"イブ"))</f>
        <v>0</v>
      </c>
      <c r="AE11" s="8">
        <f>COUNTIF(B11:AC11,"休")+0.5*(COUNTIF(B11:AC11,"○/休")+COUNTIF(B11:AC11,"〇/休")+COUNTIF(B11:AC11,"休/○")+COUNTIF(B11:AC11,"休/〇"))</f>
        <v>0</v>
      </c>
      <c r="AF11" s="8">
        <f>COUNTIF(B11:AC11,"有")+0.5*(COUNTIF(B11:AC11,"○/有")+COUNTIF(B11:AC11,"〇/有")+COUNTIF(B11:AC11,"有/○")+COUNTIF(B11:AC11,"有/〇"))</f>
        <v>0</v>
      </c>
      <c r="AG11" s="8">
        <f>COUNTIF(B11:AC11,"上1")+COUNTIF(B11:AC11,"上2")+COUNTIF(B11:AC11,"上3")+COUNTIF(B11:AC11,"上4")+COUNTIF(B11:AC11,"上5")+COUNTIF(B11:AC11,"下1")+COUNTIF(B11:AC11,"下2")+COUNTIF(B11:AC11,"下3")</f>
        <v>0</v>
      </c>
      <c r="AH11" s="13">
        <f>COUNTIF(B11:AC11,"早")+COUNTIF(B11:AC11,"ハヤ")</f>
        <v>0</v>
      </c>
      <c r="AI11" s="13">
        <f>COUNTIF(B11:AC11,"遅")+COUNTIF(B11:AC11,"オソ")</f>
        <v>0</v>
      </c>
      <c r="AJ11" s="13">
        <f>COUNTIF(B11:AC11,"E")+COUNTIF(B11:AC11,"イブ")</f>
        <v>0</v>
      </c>
      <c r="AK11" s="13">
        <f>COUNTIF(B11:AC11,"8時")</f>
        <v>0</v>
      </c>
    </row>
    <row r="12" ht="20" customHeight="1">
      <c r="A12" s="5" t="inlineStr">
        <is>
          <t>スタッフ9</t>
        </is>
      </c>
      <c r="B12" s="6" t="inlineStr">
        <is>
          <t>〇</t>
        </is>
      </c>
      <c r="C12" s="6" t="inlineStr">
        <is>
          <t>〇</t>
        </is>
      </c>
      <c r="D12" s="6" t="inlineStr">
        <is>
          <t>〇</t>
        </is>
      </c>
      <c r="E12" s="6" t="inlineStr">
        <is>
          <t>〇</t>
        </is>
      </c>
      <c r="F12" s="6" t="inlineStr">
        <is>
          <t>〇</t>
        </is>
      </c>
      <c r="G12" s="6" t="inlineStr">
        <is>
          <t>〇</t>
        </is>
      </c>
      <c r="H12" s="6" t="inlineStr">
        <is>
          <t>〇</t>
        </is>
      </c>
      <c r="I12" s="6" t="inlineStr">
        <is>
          <t>〇</t>
        </is>
      </c>
      <c r="J12" s="6" t="inlineStr">
        <is>
          <t>〇</t>
        </is>
      </c>
      <c r="K12" s="6" t="inlineStr">
        <is>
          <t>〇</t>
        </is>
      </c>
      <c r="L12" s="6" t="inlineStr">
        <is>
          <t>〇</t>
        </is>
      </c>
      <c r="M12" s="6" t="inlineStr">
        <is>
          <t>〇</t>
        </is>
      </c>
      <c r="N12" s="6" t="inlineStr">
        <is>
          <t>〇</t>
        </is>
      </c>
      <c r="O12" s="6" t="inlineStr">
        <is>
          <t>〇</t>
        </is>
      </c>
      <c r="P12" s="6" t="inlineStr">
        <is>
          <t>〇</t>
        </is>
      </c>
      <c r="Q12" s="6" t="inlineStr">
        <is>
          <t>〇</t>
        </is>
      </c>
      <c r="R12" s="6" t="inlineStr">
        <is>
          <t>〇</t>
        </is>
      </c>
      <c r="S12" s="6" t="inlineStr">
        <is>
          <t>〇</t>
        </is>
      </c>
      <c r="T12" s="6" t="inlineStr">
        <is>
          <t>〇</t>
        </is>
      </c>
      <c r="U12" s="6" t="inlineStr">
        <is>
          <t>〇</t>
        </is>
      </c>
      <c r="V12" s="6" t="inlineStr">
        <is>
          <t>〇</t>
        </is>
      </c>
      <c r="W12" s="6" t="inlineStr">
        <is>
          <t>〇</t>
        </is>
      </c>
      <c r="X12" s="6" t="inlineStr">
        <is>
          <t>〇</t>
        </is>
      </c>
      <c r="Y12" s="6" t="inlineStr">
        <is>
          <t>〇</t>
        </is>
      </c>
      <c r="Z12" s="6" t="inlineStr">
        <is>
          <t>〇</t>
        </is>
      </c>
      <c r="AA12" s="6" t="inlineStr">
        <is>
          <t>〇</t>
        </is>
      </c>
      <c r="AB12" s="6" t="inlineStr">
        <is>
          <t>〇</t>
        </is>
      </c>
      <c r="AC12" s="6" t="inlineStr">
        <is>
          <t>〇</t>
        </is>
      </c>
      <c r="AD12" s="8">
        <f>SUM(COUNTIF(B12:AC12,"○"),COUNTIF(B12:AC12,"〇"),COUNTIF(B12:AC12,"出"),COUNTIF(B12:AC12,"早"),COUNTIF(B12:AC12,"遅"),COUNTIF(B12:AC12,"E"),COUNTIF(B12:AC12,"8時"),COUNTIF(B12:AC12,"ハヤ"),COUNTIF(B12:AC12,"オソ"),COUNTIF(B12:AC12,"イブ"))</f>
        <v>0</v>
      </c>
      <c r="AE12" s="8">
        <f>COUNTIF(B12:AC12,"休")+0.5*(COUNTIF(B12:AC12,"○/休")+COUNTIF(B12:AC12,"〇/休")+COUNTIF(B12:AC12,"休/○")+COUNTIF(B12:AC12,"休/〇"))</f>
        <v>0</v>
      </c>
      <c r="AF12" s="8">
        <f>COUNTIF(B12:AC12,"有")+0.5*(COUNTIF(B12:AC12,"○/有")+COUNTIF(B12:AC12,"〇/有")+COUNTIF(B12:AC12,"有/○")+COUNTIF(B12:AC12,"有/〇"))</f>
        <v>0</v>
      </c>
      <c r="AG12" s="8">
        <f>COUNTIF(B12:AC12,"上1")+COUNTIF(B12:AC12,"上2")+COUNTIF(B12:AC12,"上3")+COUNTIF(B12:AC12,"上4")+COUNTIF(B12:AC12,"上5")+COUNTIF(B12:AC12,"下1")+COUNTIF(B12:AC12,"下2")+COUNTIF(B12:AC12,"下3")</f>
        <v>0</v>
      </c>
      <c r="AH12" s="13">
        <f>COUNTIF(B12:AC12,"早")+COUNTIF(B12:AC12,"ハヤ")</f>
        <v>0</v>
      </c>
      <c r="AI12" s="13">
        <f>COUNTIF(B12:AC12,"遅")+COUNTIF(B12:AC12,"オソ")</f>
        <v>0</v>
      </c>
      <c r="AJ12" s="13">
        <f>COUNTIF(B12:AC12,"E")+COUNTIF(B12:AC12,"イブ")</f>
        <v>0</v>
      </c>
      <c r="AK12" s="13">
        <f>COUNTIF(B12:AC12,"8時")</f>
        <v>0</v>
      </c>
    </row>
    <row r="13" ht="20" customHeight="1">
      <c r="A13" s="5" t="inlineStr">
        <is>
          <t>スタッフ10</t>
        </is>
      </c>
      <c r="B13" s="6" t="inlineStr">
        <is>
          <t>〇</t>
        </is>
      </c>
      <c r="C13" s="6" t="inlineStr">
        <is>
          <t>〇</t>
        </is>
      </c>
      <c r="D13" s="6" t="inlineStr">
        <is>
          <t>〇</t>
        </is>
      </c>
      <c r="E13" s="6" t="inlineStr">
        <is>
          <t>〇</t>
        </is>
      </c>
      <c r="F13" s="6" t="inlineStr">
        <is>
          <t>〇</t>
        </is>
      </c>
      <c r="G13" s="6" t="inlineStr">
        <is>
          <t>〇</t>
        </is>
      </c>
      <c r="H13" s="6" t="inlineStr">
        <is>
          <t>〇</t>
        </is>
      </c>
      <c r="I13" s="6" t="inlineStr">
        <is>
          <t>〇</t>
        </is>
      </c>
      <c r="J13" s="6" t="inlineStr">
        <is>
          <t>〇</t>
        </is>
      </c>
      <c r="K13" s="6" t="inlineStr">
        <is>
          <t>〇</t>
        </is>
      </c>
      <c r="L13" s="6" t="inlineStr">
        <is>
          <t>〇</t>
        </is>
      </c>
      <c r="M13" s="6" t="inlineStr">
        <is>
          <t>〇</t>
        </is>
      </c>
      <c r="N13" s="6" t="inlineStr">
        <is>
          <t>〇</t>
        </is>
      </c>
      <c r="O13" s="6" t="inlineStr">
        <is>
          <t>〇</t>
        </is>
      </c>
      <c r="P13" s="6" t="inlineStr">
        <is>
          <t>〇</t>
        </is>
      </c>
      <c r="Q13" s="6" t="inlineStr">
        <is>
          <t>〇</t>
        </is>
      </c>
      <c r="R13" s="6" t="inlineStr">
        <is>
          <t>〇</t>
        </is>
      </c>
      <c r="S13" s="6" t="inlineStr">
        <is>
          <t>〇</t>
        </is>
      </c>
      <c r="T13" s="6" t="inlineStr">
        <is>
          <t>〇</t>
        </is>
      </c>
      <c r="U13" s="6" t="inlineStr">
        <is>
          <t>〇</t>
        </is>
      </c>
      <c r="V13" s="6" t="inlineStr">
        <is>
          <t>〇</t>
        </is>
      </c>
      <c r="W13" s="6" t="inlineStr">
        <is>
          <t>〇</t>
        </is>
      </c>
      <c r="X13" s="6" t="inlineStr">
        <is>
          <t>〇</t>
        </is>
      </c>
      <c r="Y13" s="6" t="inlineStr">
        <is>
          <t>〇</t>
        </is>
      </c>
      <c r="Z13" s="6" t="inlineStr">
        <is>
          <t>〇</t>
        </is>
      </c>
      <c r="AA13" s="6" t="inlineStr">
        <is>
          <t>〇</t>
        </is>
      </c>
      <c r="AB13" s="6" t="inlineStr">
        <is>
          <t>〇</t>
        </is>
      </c>
      <c r="AC13" s="6" t="inlineStr">
        <is>
          <t>〇</t>
        </is>
      </c>
      <c r="AD13" s="8">
        <f>SUM(COUNTIF(B13:AC13,"○"),COUNTIF(B13:AC13,"〇"),COUNTIF(B13:AC13,"出"),COUNTIF(B13:AC13,"早"),COUNTIF(B13:AC13,"遅"),COUNTIF(B13:AC13,"E"),COUNTIF(B13:AC13,"8時"),COUNTIF(B13:AC13,"ハヤ"),COUNTIF(B13:AC13,"オソ"),COUNTIF(B13:AC13,"イブ"))</f>
        <v>0</v>
      </c>
      <c r="AE13" s="8">
        <f>COUNTIF(B13:AC13,"休")+0.5*(COUNTIF(B13:AC13,"○/休")+COUNTIF(B13:AC13,"〇/休")+COUNTIF(B13:AC13,"休/○")+COUNTIF(B13:AC13,"休/〇"))</f>
        <v>0</v>
      </c>
      <c r="AF13" s="8">
        <f>COUNTIF(B13:AC13,"有")+0.5*(COUNTIF(B13:AC13,"○/有")+COUNTIF(B13:AC13,"〇/有")+COUNTIF(B13:AC13,"有/○")+COUNTIF(B13:AC13,"有/〇"))</f>
        <v>0</v>
      </c>
      <c r="AG13" s="8">
        <f>COUNTIF(B13:AC13,"上1")+COUNTIF(B13:AC13,"上2")+COUNTIF(B13:AC13,"上3")+COUNTIF(B13:AC13,"上4")+COUNTIF(B13:AC13,"上5")+COUNTIF(B13:AC13,"下1")+COUNTIF(B13:AC13,"下2")+COUNTIF(B13:AC13,"下3")</f>
        <v>0</v>
      </c>
      <c r="AH13" s="13">
        <f>COUNTIF(B13:AC13,"早")+COUNTIF(B13:AC13,"ハヤ")</f>
        <v>0</v>
      </c>
      <c r="AI13" s="13">
        <f>COUNTIF(B13:AC13,"遅")+COUNTIF(B13:AC13,"オソ")</f>
        <v>0</v>
      </c>
      <c r="AJ13" s="13">
        <f>COUNTIF(B13:AC13,"E")+COUNTIF(B13:AC13,"イブ")</f>
        <v>0</v>
      </c>
      <c r="AK13" s="13">
        <f>COUNTIF(B13:AC13,"8時")</f>
        <v>0</v>
      </c>
    </row>
    <row r="14" ht="20" customHeight="1">
      <c r="A14" s="5" t="inlineStr">
        <is>
          <t>スタッフ11</t>
        </is>
      </c>
      <c r="B14" s="6" t="inlineStr">
        <is>
          <t>〇</t>
        </is>
      </c>
      <c r="C14" s="6" t="inlineStr">
        <is>
          <t>〇</t>
        </is>
      </c>
      <c r="D14" s="6" t="inlineStr">
        <is>
          <t>〇</t>
        </is>
      </c>
      <c r="E14" s="6" t="inlineStr">
        <is>
          <t>〇</t>
        </is>
      </c>
      <c r="F14" s="6" t="inlineStr">
        <is>
          <t>〇</t>
        </is>
      </c>
      <c r="G14" s="6" t="inlineStr">
        <is>
          <t>〇</t>
        </is>
      </c>
      <c r="H14" s="6" t="inlineStr">
        <is>
          <t>〇</t>
        </is>
      </c>
      <c r="I14" s="6" t="inlineStr">
        <is>
          <t>〇</t>
        </is>
      </c>
      <c r="J14" s="6" t="inlineStr">
        <is>
          <t>〇</t>
        </is>
      </c>
      <c r="K14" s="6" t="inlineStr">
        <is>
          <t>〇</t>
        </is>
      </c>
      <c r="L14" s="6" t="inlineStr">
        <is>
          <t>〇</t>
        </is>
      </c>
      <c r="M14" s="6" t="inlineStr">
        <is>
          <t>〇</t>
        </is>
      </c>
      <c r="N14" s="6" t="inlineStr">
        <is>
          <t>〇</t>
        </is>
      </c>
      <c r="O14" s="6" t="inlineStr">
        <is>
          <t>〇</t>
        </is>
      </c>
      <c r="P14" s="6" t="inlineStr">
        <is>
          <t>〇</t>
        </is>
      </c>
      <c r="Q14" s="6" t="inlineStr">
        <is>
          <t>〇</t>
        </is>
      </c>
      <c r="R14" s="6" t="inlineStr">
        <is>
          <t>〇</t>
        </is>
      </c>
      <c r="S14" s="6" t="inlineStr">
        <is>
          <t>〇</t>
        </is>
      </c>
      <c r="T14" s="6" t="inlineStr">
        <is>
          <t>〇</t>
        </is>
      </c>
      <c r="U14" s="6" t="inlineStr">
        <is>
          <t>〇</t>
        </is>
      </c>
      <c r="V14" s="6" t="inlineStr">
        <is>
          <t>〇</t>
        </is>
      </c>
      <c r="W14" s="6" t="inlineStr">
        <is>
          <t>〇</t>
        </is>
      </c>
      <c r="X14" s="6" t="inlineStr">
        <is>
          <t>〇</t>
        </is>
      </c>
      <c r="Y14" s="6" t="inlineStr">
        <is>
          <t>〇</t>
        </is>
      </c>
      <c r="Z14" s="6" t="inlineStr">
        <is>
          <t>〇</t>
        </is>
      </c>
      <c r="AA14" s="6" t="inlineStr">
        <is>
          <t>〇</t>
        </is>
      </c>
      <c r="AB14" s="6" t="inlineStr">
        <is>
          <t>〇</t>
        </is>
      </c>
      <c r="AC14" s="6" t="inlineStr">
        <is>
          <t>〇</t>
        </is>
      </c>
      <c r="AD14" s="8">
        <f>SUM(COUNTIF(B14:AC14,"○"),COUNTIF(B14:AC14,"〇"),COUNTIF(B14:AC14,"出"),COUNTIF(B14:AC14,"早"),COUNTIF(B14:AC14,"遅"),COUNTIF(B14:AC14,"E"),COUNTIF(B14:AC14,"8時"),COUNTIF(B14:AC14,"ハヤ"),COUNTIF(B14:AC14,"オソ"),COUNTIF(B14:AC14,"イブ"))</f>
        <v>0</v>
      </c>
      <c r="AE14" s="8">
        <f>COUNTIF(B14:AC14,"休")+0.5*(COUNTIF(B14:AC14,"○/休")+COUNTIF(B14:AC14,"〇/休")+COUNTIF(B14:AC14,"休/○")+COUNTIF(B14:AC14,"休/〇"))</f>
        <v>0</v>
      </c>
      <c r="AF14" s="8">
        <f>COUNTIF(B14:AC14,"有")+0.5*(COUNTIF(B14:AC14,"○/有")+COUNTIF(B14:AC14,"〇/有")+COUNTIF(B14:AC14,"有/○")+COUNTIF(B14:AC14,"有/〇"))</f>
        <v>0</v>
      </c>
      <c r="AG14" s="8">
        <f>COUNTIF(B14:AC14,"上1")+COUNTIF(B14:AC14,"上2")+COUNTIF(B14:AC14,"上3")+COUNTIF(B14:AC14,"上4")+COUNTIF(B14:AC14,"上5")+COUNTIF(B14:AC14,"下1")+COUNTIF(B14:AC14,"下2")+COUNTIF(B14:AC14,"下3")</f>
        <v>0</v>
      </c>
      <c r="AH14" s="13">
        <f>COUNTIF(B14:AC14,"早")+COUNTIF(B14:AC14,"ハヤ")</f>
        <v>0</v>
      </c>
      <c r="AI14" s="13">
        <f>COUNTIF(B14:AC14,"遅")+COUNTIF(B14:AC14,"オソ")</f>
        <v>0</v>
      </c>
      <c r="AJ14" s="13">
        <f>COUNTIF(B14:AC14,"E")+COUNTIF(B14:AC14,"イブ")</f>
        <v>0</v>
      </c>
      <c r="AK14" s="13">
        <f>COUNTIF(B14:AC14,"8時")</f>
        <v>0</v>
      </c>
    </row>
    <row r="15" ht="20" customHeight="1">
      <c r="A15" s="5" t="inlineStr">
        <is>
          <t>スタッフ12</t>
        </is>
      </c>
      <c r="B15" s="6" t="inlineStr">
        <is>
          <t>〇</t>
        </is>
      </c>
      <c r="C15" s="6" t="inlineStr">
        <is>
          <t>〇</t>
        </is>
      </c>
      <c r="D15" s="6" t="inlineStr">
        <is>
          <t>〇</t>
        </is>
      </c>
      <c r="E15" s="6" t="inlineStr">
        <is>
          <t>〇</t>
        </is>
      </c>
      <c r="F15" s="6" t="inlineStr">
        <is>
          <t>〇</t>
        </is>
      </c>
      <c r="G15" s="6" t="inlineStr">
        <is>
          <t>〇</t>
        </is>
      </c>
      <c r="H15" s="6" t="inlineStr">
        <is>
          <t>〇</t>
        </is>
      </c>
      <c r="I15" s="6" t="inlineStr">
        <is>
          <t>〇</t>
        </is>
      </c>
      <c r="J15" s="6" t="inlineStr">
        <is>
          <t>〇</t>
        </is>
      </c>
      <c r="K15" s="6" t="inlineStr">
        <is>
          <t>〇</t>
        </is>
      </c>
      <c r="L15" s="6" t="inlineStr">
        <is>
          <t>〇</t>
        </is>
      </c>
      <c r="M15" s="6" t="inlineStr">
        <is>
          <t>〇</t>
        </is>
      </c>
      <c r="N15" s="6" t="inlineStr">
        <is>
          <t>〇</t>
        </is>
      </c>
      <c r="O15" s="6" t="inlineStr">
        <is>
          <t>〇</t>
        </is>
      </c>
      <c r="P15" s="6" t="inlineStr">
        <is>
          <t>〇</t>
        </is>
      </c>
      <c r="Q15" s="6" t="inlineStr">
        <is>
          <t>〇</t>
        </is>
      </c>
      <c r="R15" s="6" t="inlineStr">
        <is>
          <t>〇</t>
        </is>
      </c>
      <c r="S15" s="6" t="inlineStr">
        <is>
          <t>〇</t>
        </is>
      </c>
      <c r="T15" s="6" t="inlineStr">
        <is>
          <t>〇</t>
        </is>
      </c>
      <c r="U15" s="6" t="inlineStr">
        <is>
          <t>〇</t>
        </is>
      </c>
      <c r="V15" s="6" t="inlineStr">
        <is>
          <t>〇</t>
        </is>
      </c>
      <c r="W15" s="6" t="inlineStr">
        <is>
          <t>〇</t>
        </is>
      </c>
      <c r="X15" s="6" t="inlineStr">
        <is>
          <t>〇</t>
        </is>
      </c>
      <c r="Y15" s="6" t="inlineStr">
        <is>
          <t>〇</t>
        </is>
      </c>
      <c r="Z15" s="6" t="inlineStr">
        <is>
          <t>〇</t>
        </is>
      </c>
      <c r="AA15" s="6" t="inlineStr">
        <is>
          <t>〇</t>
        </is>
      </c>
      <c r="AB15" s="6" t="inlineStr">
        <is>
          <t>〇</t>
        </is>
      </c>
      <c r="AC15" s="6" t="inlineStr">
        <is>
          <t>〇</t>
        </is>
      </c>
      <c r="AD15" s="8">
        <f>SUM(COUNTIF(B15:AC15,"○"),COUNTIF(B15:AC15,"〇"),COUNTIF(B15:AC15,"出"),COUNTIF(B15:AC15,"早"),COUNTIF(B15:AC15,"遅"),COUNTIF(B15:AC15,"E"),COUNTIF(B15:AC15,"8時"),COUNTIF(B15:AC15,"ハヤ"),COUNTIF(B15:AC15,"オソ"),COUNTIF(B15:AC15,"イブ"))</f>
        <v>0</v>
      </c>
      <c r="AE15" s="8">
        <f>COUNTIF(B15:AC15,"休")+0.5*(COUNTIF(B15:AC15,"○/休")+COUNTIF(B15:AC15,"〇/休")+COUNTIF(B15:AC15,"休/○")+COUNTIF(B15:AC15,"休/〇"))</f>
        <v>0</v>
      </c>
      <c r="AF15" s="8">
        <f>COUNTIF(B15:AC15,"有")+0.5*(COUNTIF(B15:AC15,"○/有")+COUNTIF(B15:AC15,"〇/有")+COUNTIF(B15:AC15,"有/○")+COUNTIF(B15:AC15,"有/〇"))</f>
        <v>0</v>
      </c>
      <c r="AG15" s="8">
        <f>COUNTIF(B15:AC15,"上1")+COUNTIF(B15:AC15,"上2")+COUNTIF(B15:AC15,"上3")+COUNTIF(B15:AC15,"上4")+COUNTIF(B15:AC15,"上5")+COUNTIF(B15:AC15,"下1")+COUNTIF(B15:AC15,"下2")+COUNTIF(B15:AC15,"下3")</f>
        <v>0</v>
      </c>
      <c r="AH15" s="13">
        <f>COUNTIF(B15:AC15,"早")+COUNTIF(B15:AC15,"ハヤ")</f>
        <v>0</v>
      </c>
      <c r="AI15" s="13">
        <f>COUNTIF(B15:AC15,"遅")+COUNTIF(B15:AC15,"オソ")</f>
        <v>0</v>
      </c>
      <c r="AJ15" s="13">
        <f>COUNTIF(B15:AC15,"E")+COUNTIF(B15:AC15,"イブ")</f>
        <v>0</v>
      </c>
      <c r="AK15" s="13">
        <f>COUNTIF(B15:AC15,"8時")</f>
        <v>0</v>
      </c>
    </row>
    <row r="16" ht="20" customHeight="1">
      <c r="A16" s="5" t="inlineStr">
        <is>
          <t>スタッフ13</t>
        </is>
      </c>
      <c r="B16" s="6" t="inlineStr">
        <is>
          <t>〇</t>
        </is>
      </c>
      <c r="C16" s="6" t="inlineStr">
        <is>
          <t>〇</t>
        </is>
      </c>
      <c r="D16" s="6" t="inlineStr">
        <is>
          <t>〇</t>
        </is>
      </c>
      <c r="E16" s="6" t="inlineStr">
        <is>
          <t>〇</t>
        </is>
      </c>
      <c r="F16" s="6" t="inlineStr">
        <is>
          <t>〇</t>
        </is>
      </c>
      <c r="G16" s="6" t="inlineStr">
        <is>
          <t>〇</t>
        </is>
      </c>
      <c r="H16" s="6" t="inlineStr">
        <is>
          <t>〇</t>
        </is>
      </c>
      <c r="I16" s="6" t="inlineStr">
        <is>
          <t>〇</t>
        </is>
      </c>
      <c r="J16" s="6" t="inlineStr">
        <is>
          <t>〇</t>
        </is>
      </c>
      <c r="K16" s="6" t="inlineStr">
        <is>
          <t>〇</t>
        </is>
      </c>
      <c r="L16" s="6" t="inlineStr">
        <is>
          <t>〇</t>
        </is>
      </c>
      <c r="M16" s="6" t="inlineStr">
        <is>
          <t>〇</t>
        </is>
      </c>
      <c r="N16" s="6" t="inlineStr">
        <is>
          <t>〇</t>
        </is>
      </c>
      <c r="O16" s="6" t="inlineStr">
        <is>
          <t>〇</t>
        </is>
      </c>
      <c r="P16" s="6" t="inlineStr">
        <is>
          <t>〇</t>
        </is>
      </c>
      <c r="Q16" s="6" t="inlineStr">
        <is>
          <t>〇</t>
        </is>
      </c>
      <c r="R16" s="6" t="inlineStr">
        <is>
          <t>〇</t>
        </is>
      </c>
      <c r="S16" s="6" t="inlineStr">
        <is>
          <t>〇</t>
        </is>
      </c>
      <c r="T16" s="6" t="inlineStr">
        <is>
          <t>〇</t>
        </is>
      </c>
      <c r="U16" s="6" t="inlineStr">
        <is>
          <t>〇</t>
        </is>
      </c>
      <c r="V16" s="6" t="inlineStr">
        <is>
          <t>〇</t>
        </is>
      </c>
      <c r="W16" s="6" t="inlineStr">
        <is>
          <t>〇</t>
        </is>
      </c>
      <c r="X16" s="6" t="inlineStr">
        <is>
          <t>〇</t>
        </is>
      </c>
      <c r="Y16" s="6" t="inlineStr">
        <is>
          <t>〇</t>
        </is>
      </c>
      <c r="Z16" s="6" t="inlineStr">
        <is>
          <t>〇</t>
        </is>
      </c>
      <c r="AA16" s="6" t="inlineStr">
        <is>
          <t>〇</t>
        </is>
      </c>
      <c r="AB16" s="6" t="inlineStr">
        <is>
          <t>〇</t>
        </is>
      </c>
      <c r="AC16" s="6" t="inlineStr">
        <is>
          <t>〇</t>
        </is>
      </c>
      <c r="AD16" s="8">
        <f>SUM(COUNTIF(B16:AC16,"○"),COUNTIF(B16:AC16,"〇"),COUNTIF(B16:AC16,"出"),COUNTIF(B16:AC16,"早"),COUNTIF(B16:AC16,"遅"),COUNTIF(B16:AC16,"E"),COUNTIF(B16:AC16,"8時"),COUNTIF(B16:AC16,"ハヤ"),COUNTIF(B16:AC16,"オソ"),COUNTIF(B16:AC16,"イブ"))</f>
        <v>0</v>
      </c>
      <c r="AE16" s="8">
        <f>COUNTIF(B16:AC16,"休")+0.5*(COUNTIF(B16:AC16,"○/休")+COUNTIF(B16:AC16,"〇/休")+COUNTIF(B16:AC16,"休/○")+COUNTIF(B16:AC16,"休/〇"))</f>
        <v>0</v>
      </c>
      <c r="AF16" s="8">
        <f>COUNTIF(B16:AC16,"有")+0.5*(COUNTIF(B16:AC16,"○/有")+COUNTIF(B16:AC16,"〇/有")+COUNTIF(B16:AC16,"有/○")+COUNTIF(B16:AC16,"有/〇"))</f>
        <v>0</v>
      </c>
      <c r="AG16" s="8">
        <f>COUNTIF(B16:AC16,"上1")+COUNTIF(B16:AC16,"上2")+COUNTIF(B16:AC16,"上3")+COUNTIF(B16:AC16,"上4")+COUNTIF(B16:AC16,"上5")+COUNTIF(B16:AC16,"下1")+COUNTIF(B16:AC16,"下2")+COUNTIF(B16:AC16,"下3")</f>
        <v>0</v>
      </c>
      <c r="AH16" s="13">
        <f>COUNTIF(B16:AC16,"早")+COUNTIF(B16:AC16,"ハヤ")</f>
        <v>0</v>
      </c>
      <c r="AI16" s="13">
        <f>COUNTIF(B16:AC16,"遅")+COUNTIF(B16:AC16,"オソ")</f>
        <v>0</v>
      </c>
      <c r="AJ16" s="13">
        <f>COUNTIF(B16:AC16,"E")+COUNTIF(B16:AC16,"イブ")</f>
        <v>0</v>
      </c>
      <c r="AK16" s="13">
        <f>COUNTIF(B16:AC16,"8時")</f>
        <v>0</v>
      </c>
    </row>
    <row r="17" ht="20" customHeight="1">
      <c r="A17" s="5" t="inlineStr">
        <is>
          <t>スタッフ14</t>
        </is>
      </c>
      <c r="B17" s="6" t="inlineStr">
        <is>
          <t>〇</t>
        </is>
      </c>
      <c r="C17" s="6" t="inlineStr">
        <is>
          <t>〇</t>
        </is>
      </c>
      <c r="D17" s="6" t="inlineStr">
        <is>
          <t>〇</t>
        </is>
      </c>
      <c r="E17" s="6" t="inlineStr">
        <is>
          <t>〇</t>
        </is>
      </c>
      <c r="F17" s="6" t="inlineStr">
        <is>
          <t>〇</t>
        </is>
      </c>
      <c r="G17" s="6" t="inlineStr">
        <is>
          <t>〇</t>
        </is>
      </c>
      <c r="H17" s="6" t="inlineStr">
        <is>
          <t>〇</t>
        </is>
      </c>
      <c r="I17" s="6" t="inlineStr">
        <is>
          <t>〇</t>
        </is>
      </c>
      <c r="J17" s="6" t="inlineStr">
        <is>
          <t>〇</t>
        </is>
      </c>
      <c r="K17" s="6" t="inlineStr">
        <is>
          <t>〇</t>
        </is>
      </c>
      <c r="L17" s="6" t="inlineStr">
        <is>
          <t>〇</t>
        </is>
      </c>
      <c r="M17" s="6" t="inlineStr">
        <is>
          <t>〇</t>
        </is>
      </c>
      <c r="N17" s="6" t="inlineStr">
        <is>
          <t>〇</t>
        </is>
      </c>
      <c r="O17" s="6" t="inlineStr">
        <is>
          <t>〇</t>
        </is>
      </c>
      <c r="P17" s="6" t="inlineStr">
        <is>
          <t>〇</t>
        </is>
      </c>
      <c r="Q17" s="6" t="inlineStr">
        <is>
          <t>〇</t>
        </is>
      </c>
      <c r="R17" s="6" t="inlineStr">
        <is>
          <t>〇</t>
        </is>
      </c>
      <c r="S17" s="6" t="inlineStr">
        <is>
          <t>〇</t>
        </is>
      </c>
      <c r="T17" s="6" t="inlineStr">
        <is>
          <t>〇</t>
        </is>
      </c>
      <c r="U17" s="6" t="inlineStr">
        <is>
          <t>〇</t>
        </is>
      </c>
      <c r="V17" s="6" t="inlineStr">
        <is>
          <t>〇</t>
        </is>
      </c>
      <c r="W17" s="6" t="inlineStr">
        <is>
          <t>〇</t>
        </is>
      </c>
      <c r="X17" s="6" t="inlineStr">
        <is>
          <t>〇</t>
        </is>
      </c>
      <c r="Y17" s="6" t="inlineStr">
        <is>
          <t>〇</t>
        </is>
      </c>
      <c r="Z17" s="6" t="inlineStr">
        <is>
          <t>〇</t>
        </is>
      </c>
      <c r="AA17" s="6" t="inlineStr">
        <is>
          <t>〇</t>
        </is>
      </c>
      <c r="AB17" s="6" t="inlineStr">
        <is>
          <t>〇</t>
        </is>
      </c>
      <c r="AC17" s="6" t="inlineStr">
        <is>
          <t>〇</t>
        </is>
      </c>
      <c r="AD17" s="8">
        <f>SUM(COUNTIF(B17:AC17,"○"),COUNTIF(B17:AC17,"〇"),COUNTIF(B17:AC17,"出"),COUNTIF(B17:AC17,"早"),COUNTIF(B17:AC17,"遅"),COUNTIF(B17:AC17,"E"),COUNTIF(B17:AC17,"8時"),COUNTIF(B17:AC17,"ハヤ"),COUNTIF(B17:AC17,"オソ"),COUNTIF(B17:AC17,"イブ"))</f>
        <v>0</v>
      </c>
      <c r="AE17" s="8">
        <f>COUNTIF(B17:AC17,"休")+0.5*(COUNTIF(B17:AC17,"○/休")+COUNTIF(B17:AC17,"〇/休")+COUNTIF(B17:AC17,"休/○")+COUNTIF(B17:AC17,"休/〇"))</f>
        <v>0</v>
      </c>
      <c r="AF17" s="8">
        <f>COUNTIF(B17:AC17,"有")+0.5*(COUNTIF(B17:AC17,"○/有")+COUNTIF(B17:AC17,"〇/有")+COUNTIF(B17:AC17,"有/○")+COUNTIF(B17:AC17,"有/〇"))</f>
        <v>0</v>
      </c>
      <c r="AG17" s="8">
        <f>COUNTIF(B17:AC17,"上1")+COUNTIF(B17:AC17,"上2")+COUNTIF(B17:AC17,"上3")+COUNTIF(B17:AC17,"上4")+COUNTIF(B17:AC17,"上5")+COUNTIF(B17:AC17,"下1")+COUNTIF(B17:AC17,"下2")+COUNTIF(B17:AC17,"下3")</f>
        <v>0</v>
      </c>
      <c r="AH17" s="13">
        <f>COUNTIF(B17:AC17,"早")+COUNTIF(B17:AC17,"ハヤ")</f>
        <v>0</v>
      </c>
      <c r="AI17" s="13">
        <f>COUNTIF(B17:AC17,"遅")+COUNTIF(B17:AC17,"オソ")</f>
        <v>0</v>
      </c>
      <c r="AJ17" s="13">
        <f>COUNTIF(B17:AC17,"E")+COUNTIF(B17:AC17,"イブ")</f>
        <v>0</v>
      </c>
      <c r="AK17" s="13">
        <f>COUNTIF(B17:AC17,"8時")</f>
        <v>0</v>
      </c>
    </row>
    <row r="18" ht="20" customHeight="1">
      <c r="A18" s="5" t="inlineStr">
        <is>
          <t>スタッフ15</t>
        </is>
      </c>
      <c r="B18" s="6" t="inlineStr">
        <is>
          <t>〇</t>
        </is>
      </c>
      <c r="C18" s="6" t="inlineStr">
        <is>
          <t>〇</t>
        </is>
      </c>
      <c r="D18" s="6" t="inlineStr">
        <is>
          <t>〇</t>
        </is>
      </c>
      <c r="E18" s="6" t="inlineStr">
        <is>
          <t>〇</t>
        </is>
      </c>
      <c r="F18" s="6" t="inlineStr">
        <is>
          <t>〇</t>
        </is>
      </c>
      <c r="G18" s="6" t="inlineStr">
        <is>
          <t>〇</t>
        </is>
      </c>
      <c r="H18" s="6" t="inlineStr">
        <is>
          <t>〇</t>
        </is>
      </c>
      <c r="I18" s="6" t="inlineStr">
        <is>
          <t>〇</t>
        </is>
      </c>
      <c r="J18" s="6" t="inlineStr">
        <is>
          <t>〇</t>
        </is>
      </c>
      <c r="K18" s="6" t="inlineStr">
        <is>
          <t>〇</t>
        </is>
      </c>
      <c r="L18" s="6" t="inlineStr">
        <is>
          <t>〇</t>
        </is>
      </c>
      <c r="M18" s="6" t="inlineStr">
        <is>
          <t>〇</t>
        </is>
      </c>
      <c r="N18" s="6" t="inlineStr">
        <is>
          <t>〇</t>
        </is>
      </c>
      <c r="O18" s="6" t="inlineStr">
        <is>
          <t>〇</t>
        </is>
      </c>
      <c r="P18" s="6" t="inlineStr">
        <is>
          <t>〇</t>
        </is>
      </c>
      <c r="Q18" s="6" t="inlineStr">
        <is>
          <t>〇</t>
        </is>
      </c>
      <c r="R18" s="6" t="inlineStr">
        <is>
          <t>〇</t>
        </is>
      </c>
      <c r="S18" s="6" t="inlineStr">
        <is>
          <t>〇</t>
        </is>
      </c>
      <c r="T18" s="6" t="inlineStr">
        <is>
          <t>〇</t>
        </is>
      </c>
      <c r="U18" s="6" t="inlineStr">
        <is>
          <t>〇</t>
        </is>
      </c>
      <c r="V18" s="6" t="inlineStr">
        <is>
          <t>〇</t>
        </is>
      </c>
      <c r="W18" s="6" t="inlineStr">
        <is>
          <t>〇</t>
        </is>
      </c>
      <c r="X18" s="6" t="inlineStr">
        <is>
          <t>〇</t>
        </is>
      </c>
      <c r="Y18" s="6" t="inlineStr">
        <is>
          <t>〇</t>
        </is>
      </c>
      <c r="Z18" s="6" t="inlineStr">
        <is>
          <t>〇</t>
        </is>
      </c>
      <c r="AA18" s="6" t="inlineStr">
        <is>
          <t>〇</t>
        </is>
      </c>
      <c r="AB18" s="6" t="inlineStr">
        <is>
          <t>〇</t>
        </is>
      </c>
      <c r="AC18" s="6" t="inlineStr">
        <is>
          <t>〇</t>
        </is>
      </c>
      <c r="AD18" s="8">
        <f>SUM(COUNTIF(B18:AC18,"○"),COUNTIF(B18:AC18,"〇"),COUNTIF(B18:AC18,"出"),COUNTIF(B18:AC18,"早"),COUNTIF(B18:AC18,"遅"),COUNTIF(B18:AC18,"E"),COUNTIF(B18:AC18,"8時"),COUNTIF(B18:AC18,"ハヤ"),COUNTIF(B18:AC18,"オソ"),COUNTIF(B18:AC18,"イブ"))</f>
        <v>0</v>
      </c>
      <c r="AE18" s="8">
        <f>COUNTIF(B18:AC18,"休")+0.5*(COUNTIF(B18:AC18,"○/休")+COUNTIF(B18:AC18,"〇/休")+COUNTIF(B18:AC18,"休/○")+COUNTIF(B18:AC18,"休/〇"))</f>
        <v>0</v>
      </c>
      <c r="AF18" s="8">
        <f>COUNTIF(B18:AC18,"有")+0.5*(COUNTIF(B18:AC18,"○/有")+COUNTIF(B18:AC18,"〇/有")+COUNTIF(B18:AC18,"有/○")+COUNTIF(B18:AC18,"有/〇"))</f>
        <v>0</v>
      </c>
      <c r="AG18" s="8">
        <f>COUNTIF(B18:AC18,"上1")+COUNTIF(B18:AC18,"上2")+COUNTIF(B18:AC18,"上3")+COUNTIF(B18:AC18,"上4")+COUNTIF(B18:AC18,"上5")+COUNTIF(B18:AC18,"下1")+COUNTIF(B18:AC18,"下2")+COUNTIF(B18:AC18,"下3")</f>
        <v>0</v>
      </c>
      <c r="AH18" s="13">
        <f>COUNTIF(B18:AC18,"早")+COUNTIF(B18:AC18,"ハヤ")</f>
        <v>0</v>
      </c>
      <c r="AI18" s="13">
        <f>COUNTIF(B18:AC18,"遅")+COUNTIF(B18:AC18,"オソ")</f>
        <v>0</v>
      </c>
      <c r="AJ18" s="13">
        <f>COUNTIF(B18:AC18,"E")+COUNTIF(B18:AC18,"イブ")</f>
        <v>0</v>
      </c>
      <c r="AK18" s="13">
        <f>COUNTIF(B18:AC18,"8時")</f>
        <v>0</v>
      </c>
    </row>
    <row r="19" ht="20" customHeight="1">
      <c r="A19" s="5" t="inlineStr">
        <is>
          <t>スタッフ16</t>
        </is>
      </c>
      <c r="B19" s="6" t="inlineStr">
        <is>
          <t>〇</t>
        </is>
      </c>
      <c r="C19" s="6" t="inlineStr">
        <is>
          <t>〇</t>
        </is>
      </c>
      <c r="D19" s="6" t="inlineStr">
        <is>
          <t>〇</t>
        </is>
      </c>
      <c r="E19" s="6" t="inlineStr">
        <is>
          <t>〇</t>
        </is>
      </c>
      <c r="F19" s="6" t="inlineStr">
        <is>
          <t>〇</t>
        </is>
      </c>
      <c r="G19" s="6" t="inlineStr">
        <is>
          <t>〇</t>
        </is>
      </c>
      <c r="H19" s="6" t="inlineStr">
        <is>
          <t>〇</t>
        </is>
      </c>
      <c r="I19" s="6" t="inlineStr">
        <is>
          <t>〇</t>
        </is>
      </c>
      <c r="J19" s="6" t="inlineStr">
        <is>
          <t>〇</t>
        </is>
      </c>
      <c r="K19" s="6" t="inlineStr">
        <is>
          <t>〇</t>
        </is>
      </c>
      <c r="L19" s="6" t="inlineStr">
        <is>
          <t>〇</t>
        </is>
      </c>
      <c r="M19" s="6" t="inlineStr">
        <is>
          <t>〇</t>
        </is>
      </c>
      <c r="N19" s="6" t="inlineStr">
        <is>
          <t>〇</t>
        </is>
      </c>
      <c r="O19" s="6" t="inlineStr">
        <is>
          <t>〇</t>
        </is>
      </c>
      <c r="P19" s="6" t="inlineStr">
        <is>
          <t>〇</t>
        </is>
      </c>
      <c r="Q19" s="6" t="inlineStr">
        <is>
          <t>〇</t>
        </is>
      </c>
      <c r="R19" s="6" t="inlineStr">
        <is>
          <t>〇</t>
        </is>
      </c>
      <c r="S19" s="6" t="inlineStr">
        <is>
          <t>〇</t>
        </is>
      </c>
      <c r="T19" s="6" t="inlineStr">
        <is>
          <t>〇</t>
        </is>
      </c>
      <c r="U19" s="6" t="inlineStr">
        <is>
          <t>〇</t>
        </is>
      </c>
      <c r="V19" s="6" t="inlineStr">
        <is>
          <t>〇</t>
        </is>
      </c>
      <c r="W19" s="6" t="inlineStr">
        <is>
          <t>〇</t>
        </is>
      </c>
      <c r="X19" s="6" t="inlineStr">
        <is>
          <t>〇</t>
        </is>
      </c>
      <c r="Y19" s="6" t="inlineStr">
        <is>
          <t>〇</t>
        </is>
      </c>
      <c r="Z19" s="6" t="inlineStr">
        <is>
          <t>〇</t>
        </is>
      </c>
      <c r="AA19" s="6" t="inlineStr">
        <is>
          <t>〇</t>
        </is>
      </c>
      <c r="AB19" s="6" t="inlineStr">
        <is>
          <t>〇</t>
        </is>
      </c>
      <c r="AC19" s="6" t="inlineStr">
        <is>
          <t>〇</t>
        </is>
      </c>
      <c r="AD19" s="8">
        <f>SUM(COUNTIF(B19:AC19,"○"),COUNTIF(B19:AC19,"〇"),COUNTIF(B19:AC19,"出"),COUNTIF(B19:AC19,"早"),COUNTIF(B19:AC19,"遅"),COUNTIF(B19:AC19,"E"),COUNTIF(B19:AC19,"8時"),COUNTIF(B19:AC19,"ハヤ"),COUNTIF(B19:AC19,"オソ"),COUNTIF(B19:AC19,"イブ"))</f>
        <v>0</v>
      </c>
      <c r="AE19" s="8">
        <f>COUNTIF(B19:AC19,"休")+0.5*(COUNTIF(B19:AC19,"○/休")+COUNTIF(B19:AC19,"〇/休")+COUNTIF(B19:AC19,"休/○")+COUNTIF(B19:AC19,"休/〇"))</f>
        <v>0</v>
      </c>
      <c r="AF19" s="8">
        <f>COUNTIF(B19:AC19,"有")+0.5*(COUNTIF(B19:AC19,"○/有")+COUNTIF(B19:AC19,"〇/有")+COUNTIF(B19:AC19,"有/○")+COUNTIF(B19:AC19,"有/〇"))</f>
        <v>0</v>
      </c>
      <c r="AG19" s="8">
        <f>COUNTIF(B19:AC19,"上1")+COUNTIF(B19:AC19,"上2")+COUNTIF(B19:AC19,"上3")+COUNTIF(B19:AC19,"上4")+COUNTIF(B19:AC19,"上5")+COUNTIF(B19:AC19,"下1")+COUNTIF(B19:AC19,"下2")+COUNTIF(B19:AC19,"下3")</f>
        <v>0</v>
      </c>
      <c r="AH19" s="13">
        <f>COUNTIF(B19:AC19,"早")+COUNTIF(B19:AC19,"ハヤ")</f>
        <v>0</v>
      </c>
      <c r="AI19" s="13">
        <f>COUNTIF(B19:AC19,"遅")+COUNTIF(B19:AC19,"オソ")</f>
        <v>0</v>
      </c>
      <c r="AJ19" s="13">
        <f>COUNTIF(B19:AC19,"E")+COUNTIF(B19:AC19,"イブ")</f>
        <v>0</v>
      </c>
      <c r="AK19" s="13">
        <f>COUNTIF(B19:AC19,"8時")</f>
        <v>0</v>
      </c>
    </row>
    <row r="20" ht="20" customHeight="1">
      <c r="A20" s="5" t="inlineStr">
        <is>
          <t>スタッフ17</t>
        </is>
      </c>
      <c r="B20" s="6" t="inlineStr">
        <is>
          <t>〇</t>
        </is>
      </c>
      <c r="C20" s="6" t="inlineStr">
        <is>
          <t>〇</t>
        </is>
      </c>
      <c r="D20" s="6" t="inlineStr">
        <is>
          <t>〇</t>
        </is>
      </c>
      <c r="E20" s="6" t="inlineStr">
        <is>
          <t>〇</t>
        </is>
      </c>
      <c r="F20" s="6" t="inlineStr">
        <is>
          <t>〇</t>
        </is>
      </c>
      <c r="G20" s="6" t="inlineStr">
        <is>
          <t>〇</t>
        </is>
      </c>
      <c r="H20" s="6" t="inlineStr">
        <is>
          <t>〇</t>
        </is>
      </c>
      <c r="I20" s="6" t="inlineStr">
        <is>
          <t>〇</t>
        </is>
      </c>
      <c r="J20" s="6" t="inlineStr">
        <is>
          <t>〇</t>
        </is>
      </c>
      <c r="K20" s="6" t="inlineStr">
        <is>
          <t>〇</t>
        </is>
      </c>
      <c r="L20" s="6" t="inlineStr">
        <is>
          <t>〇</t>
        </is>
      </c>
      <c r="M20" s="6" t="inlineStr">
        <is>
          <t>〇</t>
        </is>
      </c>
      <c r="N20" s="6" t="inlineStr">
        <is>
          <t>〇</t>
        </is>
      </c>
      <c r="O20" s="6" t="inlineStr">
        <is>
          <t>〇</t>
        </is>
      </c>
      <c r="P20" s="6" t="inlineStr">
        <is>
          <t>〇</t>
        </is>
      </c>
      <c r="Q20" s="6" t="inlineStr">
        <is>
          <t>〇</t>
        </is>
      </c>
      <c r="R20" s="6" t="inlineStr">
        <is>
          <t>〇</t>
        </is>
      </c>
      <c r="S20" s="6" t="inlineStr">
        <is>
          <t>〇</t>
        </is>
      </c>
      <c r="T20" s="6" t="inlineStr">
        <is>
          <t>〇</t>
        </is>
      </c>
      <c r="U20" s="6" t="inlineStr">
        <is>
          <t>〇</t>
        </is>
      </c>
      <c r="V20" s="6" t="inlineStr">
        <is>
          <t>〇</t>
        </is>
      </c>
      <c r="W20" s="6" t="inlineStr">
        <is>
          <t>〇</t>
        </is>
      </c>
      <c r="X20" s="6" t="inlineStr">
        <is>
          <t>〇</t>
        </is>
      </c>
      <c r="Y20" s="6" t="inlineStr">
        <is>
          <t>〇</t>
        </is>
      </c>
      <c r="Z20" s="6" t="inlineStr">
        <is>
          <t>〇</t>
        </is>
      </c>
      <c r="AA20" s="6" t="inlineStr">
        <is>
          <t>〇</t>
        </is>
      </c>
      <c r="AB20" s="6" t="inlineStr">
        <is>
          <t>〇</t>
        </is>
      </c>
      <c r="AC20" s="6" t="inlineStr">
        <is>
          <t>〇</t>
        </is>
      </c>
      <c r="AD20" s="8">
        <f>SUM(COUNTIF(B20:AC20,"○"),COUNTIF(B20:AC20,"〇"),COUNTIF(B20:AC20,"出"),COUNTIF(B20:AC20,"早"),COUNTIF(B20:AC20,"遅"),COUNTIF(B20:AC20,"E"),COUNTIF(B20:AC20,"8時"),COUNTIF(B20:AC20,"ハヤ"),COUNTIF(B20:AC20,"オソ"),COUNTIF(B20:AC20,"イブ"))</f>
        <v>0</v>
      </c>
      <c r="AE20" s="8">
        <f>COUNTIF(B20:AC20,"休")+0.5*(COUNTIF(B20:AC20,"○/休")+COUNTIF(B20:AC20,"〇/休")+COUNTIF(B20:AC20,"休/○")+COUNTIF(B20:AC20,"休/〇"))</f>
        <v>0</v>
      </c>
      <c r="AF20" s="8">
        <f>COUNTIF(B20:AC20,"有")+0.5*(COUNTIF(B20:AC20,"○/有")+COUNTIF(B20:AC20,"〇/有")+COUNTIF(B20:AC20,"有/○")+COUNTIF(B20:AC20,"有/〇"))</f>
        <v>0</v>
      </c>
      <c r="AG20" s="8">
        <f>COUNTIF(B20:AC20,"上1")+COUNTIF(B20:AC20,"上2")+COUNTIF(B20:AC20,"上3")+COUNTIF(B20:AC20,"上4")+COUNTIF(B20:AC20,"上5")+COUNTIF(B20:AC20,"下1")+COUNTIF(B20:AC20,"下2")+COUNTIF(B20:AC20,"下3")</f>
        <v>0</v>
      </c>
      <c r="AH20" s="13">
        <f>COUNTIF(B20:AC20,"早")+COUNTIF(B20:AC20,"ハヤ")</f>
        <v>0</v>
      </c>
      <c r="AI20" s="13">
        <f>COUNTIF(B20:AC20,"遅")+COUNTIF(B20:AC20,"オソ")</f>
        <v>0</v>
      </c>
      <c r="AJ20" s="13">
        <f>COUNTIF(B20:AC20,"E")+COUNTIF(B20:AC20,"イブ")</f>
        <v>0</v>
      </c>
      <c r="AK20" s="13">
        <f>COUNTIF(B20:AC20,"8時")</f>
        <v>0</v>
      </c>
    </row>
    <row r="21" ht="20" customHeight="1">
      <c r="A21" s="5" t="inlineStr">
        <is>
          <t>スタッフ18</t>
        </is>
      </c>
      <c r="B21" s="6" t="inlineStr">
        <is>
          <t>〇</t>
        </is>
      </c>
      <c r="C21" s="6" t="inlineStr">
        <is>
          <t>〇</t>
        </is>
      </c>
      <c r="D21" s="6" t="inlineStr">
        <is>
          <t>〇</t>
        </is>
      </c>
      <c r="E21" s="6" t="inlineStr">
        <is>
          <t>〇</t>
        </is>
      </c>
      <c r="F21" s="6" t="inlineStr">
        <is>
          <t>〇</t>
        </is>
      </c>
      <c r="G21" s="6" t="inlineStr">
        <is>
          <t>〇</t>
        </is>
      </c>
      <c r="H21" s="6" t="inlineStr">
        <is>
          <t>〇</t>
        </is>
      </c>
      <c r="I21" s="6" t="inlineStr">
        <is>
          <t>〇</t>
        </is>
      </c>
      <c r="J21" s="6" t="inlineStr">
        <is>
          <t>〇</t>
        </is>
      </c>
      <c r="K21" s="6" t="inlineStr">
        <is>
          <t>〇</t>
        </is>
      </c>
      <c r="L21" s="6" t="inlineStr">
        <is>
          <t>〇</t>
        </is>
      </c>
      <c r="M21" s="6" t="inlineStr">
        <is>
          <t>〇</t>
        </is>
      </c>
      <c r="N21" s="6" t="inlineStr">
        <is>
          <t>〇</t>
        </is>
      </c>
      <c r="O21" s="6" t="inlineStr">
        <is>
          <t>〇</t>
        </is>
      </c>
      <c r="P21" s="6" t="inlineStr">
        <is>
          <t>〇</t>
        </is>
      </c>
      <c r="Q21" s="6" t="inlineStr">
        <is>
          <t>〇</t>
        </is>
      </c>
      <c r="R21" s="6" t="inlineStr">
        <is>
          <t>〇</t>
        </is>
      </c>
      <c r="S21" s="6" t="inlineStr">
        <is>
          <t>〇</t>
        </is>
      </c>
      <c r="T21" s="6" t="inlineStr">
        <is>
          <t>〇</t>
        </is>
      </c>
      <c r="U21" s="6" t="inlineStr">
        <is>
          <t>〇</t>
        </is>
      </c>
      <c r="V21" s="6" t="inlineStr">
        <is>
          <t>〇</t>
        </is>
      </c>
      <c r="W21" s="6" t="inlineStr">
        <is>
          <t>〇</t>
        </is>
      </c>
      <c r="X21" s="6" t="inlineStr">
        <is>
          <t>〇</t>
        </is>
      </c>
      <c r="Y21" s="6" t="inlineStr">
        <is>
          <t>〇</t>
        </is>
      </c>
      <c r="Z21" s="6" t="inlineStr">
        <is>
          <t>〇</t>
        </is>
      </c>
      <c r="AA21" s="6" t="inlineStr">
        <is>
          <t>〇</t>
        </is>
      </c>
      <c r="AB21" s="6" t="inlineStr">
        <is>
          <t>〇</t>
        </is>
      </c>
      <c r="AC21" s="6" t="inlineStr">
        <is>
          <t>〇</t>
        </is>
      </c>
      <c r="AD21" s="8">
        <f>SUM(COUNTIF(B21:AC21,"○"),COUNTIF(B21:AC21,"〇"),COUNTIF(B21:AC21,"出"),COUNTIF(B21:AC21,"早"),COUNTIF(B21:AC21,"遅"),COUNTIF(B21:AC21,"E"),COUNTIF(B21:AC21,"8時"),COUNTIF(B21:AC21,"ハヤ"),COUNTIF(B21:AC21,"オソ"),COUNTIF(B21:AC21,"イブ"))</f>
        <v>0</v>
      </c>
      <c r="AE21" s="8">
        <f>COUNTIF(B21:AC21,"休")+0.5*(COUNTIF(B21:AC21,"○/休")+COUNTIF(B21:AC21,"〇/休")+COUNTIF(B21:AC21,"休/○")+COUNTIF(B21:AC21,"休/〇"))</f>
        <v>0</v>
      </c>
      <c r="AF21" s="8">
        <f>COUNTIF(B21:AC21,"有")+0.5*(COUNTIF(B21:AC21,"○/有")+COUNTIF(B21:AC21,"〇/有")+COUNTIF(B21:AC21,"有/○")+COUNTIF(B21:AC21,"有/〇"))</f>
        <v>0</v>
      </c>
      <c r="AG21" s="8">
        <f>COUNTIF(B21:AC21,"上1")+COUNTIF(B21:AC21,"上2")+COUNTIF(B21:AC21,"上3")+COUNTIF(B21:AC21,"上4")+COUNTIF(B21:AC21,"上5")+COUNTIF(B21:AC21,"下1")+COUNTIF(B21:AC21,"下2")+COUNTIF(B21:AC21,"下3")</f>
        <v>0</v>
      </c>
      <c r="AH21" s="13">
        <f>COUNTIF(B21:AC21,"早")+COUNTIF(B21:AC21,"ハヤ")</f>
        <v>0</v>
      </c>
      <c r="AI21" s="13">
        <f>COUNTIF(B21:AC21,"遅")+COUNTIF(B21:AC21,"オソ")</f>
        <v>0</v>
      </c>
      <c r="AJ21" s="13">
        <f>COUNTIF(B21:AC21,"E")+COUNTIF(B21:AC21,"イブ")</f>
        <v>0</v>
      </c>
      <c r="AK21" s="13">
        <f>COUNTIF(B21:AC21,"8時")</f>
        <v>0</v>
      </c>
    </row>
    <row r="22" ht="20" customHeight="1">
      <c r="A22" s="5" t="inlineStr">
        <is>
          <t>スタッフ19</t>
        </is>
      </c>
      <c r="B22" s="6" t="inlineStr">
        <is>
          <t>〇</t>
        </is>
      </c>
      <c r="C22" s="6" t="inlineStr">
        <is>
          <t>〇</t>
        </is>
      </c>
      <c r="D22" s="6" t="inlineStr">
        <is>
          <t>〇</t>
        </is>
      </c>
      <c r="E22" s="6" t="inlineStr">
        <is>
          <t>〇</t>
        </is>
      </c>
      <c r="F22" s="6" t="inlineStr">
        <is>
          <t>〇</t>
        </is>
      </c>
      <c r="G22" s="6" t="inlineStr">
        <is>
          <t>〇</t>
        </is>
      </c>
      <c r="H22" s="6" t="inlineStr">
        <is>
          <t>〇</t>
        </is>
      </c>
      <c r="I22" s="6" t="inlineStr">
        <is>
          <t>〇</t>
        </is>
      </c>
      <c r="J22" s="6" t="inlineStr">
        <is>
          <t>〇</t>
        </is>
      </c>
      <c r="K22" s="6" t="inlineStr">
        <is>
          <t>〇</t>
        </is>
      </c>
      <c r="L22" s="6" t="inlineStr">
        <is>
          <t>〇</t>
        </is>
      </c>
      <c r="M22" s="6" t="inlineStr">
        <is>
          <t>〇</t>
        </is>
      </c>
      <c r="N22" s="6" t="inlineStr">
        <is>
          <t>〇</t>
        </is>
      </c>
      <c r="O22" s="6" t="inlineStr">
        <is>
          <t>〇</t>
        </is>
      </c>
      <c r="P22" s="6" t="inlineStr">
        <is>
          <t>〇</t>
        </is>
      </c>
      <c r="Q22" s="6" t="inlineStr">
        <is>
          <t>〇</t>
        </is>
      </c>
      <c r="R22" s="6" t="inlineStr">
        <is>
          <t>〇</t>
        </is>
      </c>
      <c r="S22" s="6" t="inlineStr">
        <is>
          <t>〇</t>
        </is>
      </c>
      <c r="T22" s="6" t="inlineStr">
        <is>
          <t>〇</t>
        </is>
      </c>
      <c r="U22" s="6" t="inlineStr">
        <is>
          <t>〇</t>
        </is>
      </c>
      <c r="V22" s="6" t="inlineStr">
        <is>
          <t>〇</t>
        </is>
      </c>
      <c r="W22" s="6" t="inlineStr">
        <is>
          <t>〇</t>
        </is>
      </c>
      <c r="X22" s="6" t="inlineStr">
        <is>
          <t>〇</t>
        </is>
      </c>
      <c r="Y22" s="6" t="inlineStr">
        <is>
          <t>〇</t>
        </is>
      </c>
      <c r="Z22" s="6" t="inlineStr">
        <is>
          <t>〇</t>
        </is>
      </c>
      <c r="AA22" s="6" t="inlineStr">
        <is>
          <t>〇</t>
        </is>
      </c>
      <c r="AB22" s="6" t="inlineStr">
        <is>
          <t>〇</t>
        </is>
      </c>
      <c r="AC22" s="6" t="inlineStr">
        <is>
          <t>〇</t>
        </is>
      </c>
      <c r="AD22" s="8">
        <f>SUM(COUNTIF(B22:AC22,"○"),COUNTIF(B22:AC22,"〇"),COUNTIF(B22:AC22,"出"),COUNTIF(B22:AC22,"早"),COUNTIF(B22:AC22,"遅"),COUNTIF(B22:AC22,"E"),COUNTIF(B22:AC22,"8時"),COUNTIF(B22:AC22,"ハヤ"),COUNTIF(B22:AC22,"オソ"),COUNTIF(B22:AC22,"イブ"))</f>
        <v>0</v>
      </c>
      <c r="AE22" s="8">
        <f>COUNTIF(B22:AC22,"休")+0.5*(COUNTIF(B22:AC22,"○/休")+COUNTIF(B22:AC22,"〇/休")+COUNTIF(B22:AC22,"休/○")+COUNTIF(B22:AC22,"休/〇"))</f>
        <v>0</v>
      </c>
      <c r="AF22" s="8">
        <f>COUNTIF(B22:AC22,"有")+0.5*(COUNTIF(B22:AC22,"○/有")+COUNTIF(B22:AC22,"〇/有")+COUNTIF(B22:AC22,"有/○")+COUNTIF(B22:AC22,"有/〇"))</f>
        <v>0</v>
      </c>
      <c r="AG22" s="8">
        <f>COUNTIF(B22:AC22,"上1")+COUNTIF(B22:AC22,"上2")+COUNTIF(B22:AC22,"上3")+COUNTIF(B22:AC22,"上4")+COUNTIF(B22:AC22,"上5")+COUNTIF(B22:AC22,"下1")+COUNTIF(B22:AC22,"下2")+COUNTIF(B22:AC22,"下3")</f>
        <v>0</v>
      </c>
      <c r="AH22" s="13">
        <f>COUNTIF(B22:AC22,"早")+COUNTIF(B22:AC22,"ハヤ")</f>
        <v>0</v>
      </c>
      <c r="AI22" s="13">
        <f>COUNTIF(B22:AC22,"遅")+COUNTIF(B22:AC22,"オソ")</f>
        <v>0</v>
      </c>
      <c r="AJ22" s="13">
        <f>COUNTIF(B22:AC22,"E")+COUNTIF(B22:AC22,"イブ")</f>
        <v>0</v>
      </c>
      <c r="AK22" s="13">
        <f>COUNTIF(B22:AC22,"8時")</f>
        <v>0</v>
      </c>
    </row>
    <row r="23" ht="20" customHeight="1">
      <c r="A23" s="5" t="inlineStr">
        <is>
          <t>スタッフ20</t>
        </is>
      </c>
      <c r="B23" s="6" t="inlineStr">
        <is>
          <t>〇</t>
        </is>
      </c>
      <c r="C23" s="6" t="inlineStr">
        <is>
          <t>〇</t>
        </is>
      </c>
      <c r="D23" s="6" t="inlineStr">
        <is>
          <t>〇</t>
        </is>
      </c>
      <c r="E23" s="6" t="inlineStr">
        <is>
          <t>〇</t>
        </is>
      </c>
      <c r="F23" s="6" t="inlineStr">
        <is>
          <t>〇</t>
        </is>
      </c>
      <c r="G23" s="6" t="inlineStr">
        <is>
          <t>〇</t>
        </is>
      </c>
      <c r="H23" s="6" t="inlineStr">
        <is>
          <t>〇</t>
        </is>
      </c>
      <c r="I23" s="6" t="inlineStr">
        <is>
          <t>〇</t>
        </is>
      </c>
      <c r="J23" s="6" t="inlineStr">
        <is>
          <t>〇</t>
        </is>
      </c>
      <c r="K23" s="6" t="inlineStr">
        <is>
          <t>〇</t>
        </is>
      </c>
      <c r="L23" s="6" t="inlineStr">
        <is>
          <t>〇</t>
        </is>
      </c>
      <c r="M23" s="6" t="inlineStr">
        <is>
          <t>〇</t>
        </is>
      </c>
      <c r="N23" s="6" t="inlineStr">
        <is>
          <t>〇</t>
        </is>
      </c>
      <c r="O23" s="6" t="inlineStr">
        <is>
          <t>〇</t>
        </is>
      </c>
      <c r="P23" s="6" t="inlineStr">
        <is>
          <t>〇</t>
        </is>
      </c>
      <c r="Q23" s="6" t="inlineStr">
        <is>
          <t>〇</t>
        </is>
      </c>
      <c r="R23" s="6" t="inlineStr">
        <is>
          <t>〇</t>
        </is>
      </c>
      <c r="S23" s="6" t="inlineStr">
        <is>
          <t>〇</t>
        </is>
      </c>
      <c r="T23" s="6" t="inlineStr">
        <is>
          <t>〇</t>
        </is>
      </c>
      <c r="U23" s="6" t="inlineStr">
        <is>
          <t>〇</t>
        </is>
      </c>
      <c r="V23" s="6" t="inlineStr">
        <is>
          <t>〇</t>
        </is>
      </c>
      <c r="W23" s="6" t="inlineStr">
        <is>
          <t>〇</t>
        </is>
      </c>
      <c r="X23" s="6" t="inlineStr">
        <is>
          <t>〇</t>
        </is>
      </c>
      <c r="Y23" s="6" t="inlineStr">
        <is>
          <t>〇</t>
        </is>
      </c>
      <c r="Z23" s="6" t="inlineStr">
        <is>
          <t>〇</t>
        </is>
      </c>
      <c r="AA23" s="6" t="inlineStr">
        <is>
          <t>〇</t>
        </is>
      </c>
      <c r="AB23" s="6" t="inlineStr">
        <is>
          <t>〇</t>
        </is>
      </c>
      <c r="AC23" s="6" t="inlineStr">
        <is>
          <t>〇</t>
        </is>
      </c>
      <c r="AD23" s="8">
        <f>SUM(COUNTIF(B23:AC23,"○"),COUNTIF(B23:AC23,"〇"),COUNTIF(B23:AC23,"出"),COUNTIF(B23:AC23,"早"),COUNTIF(B23:AC23,"遅"),COUNTIF(B23:AC23,"E"),COUNTIF(B23:AC23,"8時"),COUNTIF(B23:AC23,"ハヤ"),COUNTIF(B23:AC23,"オソ"),COUNTIF(B23:AC23,"イブ"))</f>
        <v>0</v>
      </c>
      <c r="AE23" s="8">
        <f>COUNTIF(B23:AC23,"休")+0.5*(COUNTIF(B23:AC23,"○/休")+COUNTIF(B23:AC23,"〇/休")+COUNTIF(B23:AC23,"休/○")+COUNTIF(B23:AC23,"休/〇"))</f>
        <v>0</v>
      </c>
      <c r="AF23" s="8">
        <f>COUNTIF(B23:AC23,"有")+0.5*(COUNTIF(B23:AC23,"○/有")+COUNTIF(B23:AC23,"〇/有")+COUNTIF(B23:AC23,"有/○")+COUNTIF(B23:AC23,"有/〇"))</f>
        <v>0</v>
      </c>
      <c r="AG23" s="8">
        <f>COUNTIF(B23:AC23,"上1")+COUNTIF(B23:AC23,"上2")+COUNTIF(B23:AC23,"上3")+COUNTIF(B23:AC23,"上4")+COUNTIF(B23:AC23,"上5")+COUNTIF(B23:AC23,"下1")+COUNTIF(B23:AC23,"下2")+COUNTIF(B23:AC23,"下3")</f>
        <v>0</v>
      </c>
      <c r="AH23" s="13">
        <f>COUNTIF(B23:AC23,"早")+COUNTIF(B23:AC23,"ハヤ")</f>
        <v>0</v>
      </c>
      <c r="AI23" s="13">
        <f>COUNTIF(B23:AC23,"遅")+COUNTIF(B23:AC23,"オソ")</f>
        <v>0</v>
      </c>
      <c r="AJ23" s="13">
        <f>COUNTIF(B23:AC23,"E")+COUNTIF(B23:AC23,"イブ")</f>
        <v>0</v>
      </c>
      <c r="AK23" s="13">
        <f>COUNTIF(B23:AC23,"8時")</f>
        <v>0</v>
      </c>
    </row>
    <row r="24" ht="20" customHeight="1">
      <c r="A24" s="5" t="inlineStr">
        <is>
          <t>スタッフ21</t>
        </is>
      </c>
      <c r="B24" s="6" t="inlineStr">
        <is>
          <t>〇</t>
        </is>
      </c>
      <c r="C24" s="6" t="inlineStr">
        <is>
          <t>〇</t>
        </is>
      </c>
      <c r="D24" s="6" t="inlineStr">
        <is>
          <t>〇</t>
        </is>
      </c>
      <c r="E24" s="6" t="inlineStr">
        <is>
          <t>〇</t>
        </is>
      </c>
      <c r="F24" s="6" t="inlineStr">
        <is>
          <t>〇</t>
        </is>
      </c>
      <c r="G24" s="6" t="inlineStr">
        <is>
          <t>〇</t>
        </is>
      </c>
      <c r="H24" s="6" t="inlineStr">
        <is>
          <t>〇</t>
        </is>
      </c>
      <c r="I24" s="6" t="inlineStr">
        <is>
          <t>〇</t>
        </is>
      </c>
      <c r="J24" s="6" t="inlineStr">
        <is>
          <t>〇</t>
        </is>
      </c>
      <c r="K24" s="6" t="inlineStr">
        <is>
          <t>〇</t>
        </is>
      </c>
      <c r="L24" s="6" t="inlineStr">
        <is>
          <t>〇</t>
        </is>
      </c>
      <c r="M24" s="6" t="inlineStr">
        <is>
          <t>〇</t>
        </is>
      </c>
      <c r="N24" s="6" t="inlineStr">
        <is>
          <t>〇</t>
        </is>
      </c>
      <c r="O24" s="6" t="inlineStr">
        <is>
          <t>〇</t>
        </is>
      </c>
      <c r="P24" s="6" t="inlineStr">
        <is>
          <t>〇</t>
        </is>
      </c>
      <c r="Q24" s="6" t="inlineStr">
        <is>
          <t>〇</t>
        </is>
      </c>
      <c r="R24" s="6" t="inlineStr">
        <is>
          <t>〇</t>
        </is>
      </c>
      <c r="S24" s="6" t="inlineStr">
        <is>
          <t>〇</t>
        </is>
      </c>
      <c r="T24" s="6" t="inlineStr">
        <is>
          <t>〇</t>
        </is>
      </c>
      <c r="U24" s="6" t="inlineStr">
        <is>
          <t>〇</t>
        </is>
      </c>
      <c r="V24" s="6" t="inlineStr">
        <is>
          <t>〇</t>
        </is>
      </c>
      <c r="W24" s="6" t="inlineStr">
        <is>
          <t>〇</t>
        </is>
      </c>
      <c r="X24" s="6" t="inlineStr">
        <is>
          <t>〇</t>
        </is>
      </c>
      <c r="Y24" s="6" t="inlineStr">
        <is>
          <t>〇</t>
        </is>
      </c>
      <c r="Z24" s="6" t="inlineStr">
        <is>
          <t>〇</t>
        </is>
      </c>
      <c r="AA24" s="6" t="inlineStr">
        <is>
          <t>〇</t>
        </is>
      </c>
      <c r="AB24" s="6" t="inlineStr">
        <is>
          <t>〇</t>
        </is>
      </c>
      <c r="AC24" s="6" t="inlineStr">
        <is>
          <t>〇</t>
        </is>
      </c>
      <c r="AD24" s="8">
        <f>SUM(COUNTIF(B24:AC24,"○"),COUNTIF(B24:AC24,"〇"),COUNTIF(B24:AC24,"出"),COUNTIF(B24:AC24,"早"),COUNTIF(B24:AC24,"遅"),COUNTIF(B24:AC24,"E"),COUNTIF(B24:AC24,"8時"),COUNTIF(B24:AC24,"ハヤ"),COUNTIF(B24:AC24,"オソ"),COUNTIF(B24:AC24,"イブ"))</f>
        <v>0</v>
      </c>
      <c r="AE24" s="8">
        <f>COUNTIF(B24:AC24,"休")+0.5*(COUNTIF(B24:AC24,"○/休")+COUNTIF(B24:AC24,"〇/休")+COUNTIF(B24:AC24,"休/○")+COUNTIF(B24:AC24,"休/〇"))</f>
        <v>0</v>
      </c>
      <c r="AF24" s="8">
        <f>COUNTIF(B24:AC24,"有")+0.5*(COUNTIF(B24:AC24,"○/有")+COUNTIF(B24:AC24,"〇/有")+COUNTIF(B24:AC24,"有/○")+COUNTIF(B24:AC24,"有/〇"))</f>
        <v>0</v>
      </c>
      <c r="AG24" s="8">
        <f>COUNTIF(B24:AC24,"上1")+COUNTIF(B24:AC24,"上2")+COUNTIF(B24:AC24,"上3")+COUNTIF(B24:AC24,"上4")+COUNTIF(B24:AC24,"上5")+COUNTIF(B24:AC24,"下1")+COUNTIF(B24:AC24,"下2")+COUNTIF(B24:AC24,"下3")</f>
        <v>0</v>
      </c>
      <c r="AH24" s="13">
        <f>COUNTIF(B24:AC24,"早")+COUNTIF(B24:AC24,"ハヤ")</f>
        <v>0</v>
      </c>
      <c r="AI24" s="13">
        <f>COUNTIF(B24:AC24,"遅")+COUNTIF(B24:AC24,"オソ")</f>
        <v>0</v>
      </c>
      <c r="AJ24" s="13">
        <f>COUNTIF(B24:AC24,"E")+COUNTIF(B24:AC24,"イブ")</f>
        <v>0</v>
      </c>
      <c r="AK24" s="13">
        <f>COUNTIF(B24:AC24,"8時")</f>
        <v>0</v>
      </c>
    </row>
    <row r="25" ht="20" customHeight="1">
      <c r="A25" s="5" t="inlineStr">
        <is>
          <t>スタッフ22</t>
        </is>
      </c>
      <c r="B25" s="6" t="inlineStr">
        <is>
          <t>〇</t>
        </is>
      </c>
      <c r="C25" s="6" t="inlineStr">
        <is>
          <t>〇</t>
        </is>
      </c>
      <c r="D25" s="6" t="inlineStr">
        <is>
          <t>〇</t>
        </is>
      </c>
      <c r="E25" s="6" t="inlineStr">
        <is>
          <t>〇</t>
        </is>
      </c>
      <c r="F25" s="6" t="inlineStr">
        <is>
          <t>〇</t>
        </is>
      </c>
      <c r="G25" s="6" t="inlineStr">
        <is>
          <t>〇</t>
        </is>
      </c>
      <c r="H25" s="6" t="inlineStr">
        <is>
          <t>〇</t>
        </is>
      </c>
      <c r="I25" s="6" t="inlineStr">
        <is>
          <t>〇</t>
        </is>
      </c>
      <c r="J25" s="6" t="inlineStr">
        <is>
          <t>〇</t>
        </is>
      </c>
      <c r="K25" s="6" t="inlineStr">
        <is>
          <t>〇</t>
        </is>
      </c>
      <c r="L25" s="6" t="inlineStr">
        <is>
          <t>〇</t>
        </is>
      </c>
      <c r="M25" s="6" t="inlineStr">
        <is>
          <t>〇</t>
        </is>
      </c>
      <c r="N25" s="6" t="inlineStr">
        <is>
          <t>〇</t>
        </is>
      </c>
      <c r="O25" s="6" t="inlineStr">
        <is>
          <t>〇</t>
        </is>
      </c>
      <c r="P25" s="6" t="inlineStr">
        <is>
          <t>〇</t>
        </is>
      </c>
      <c r="Q25" s="6" t="inlineStr">
        <is>
          <t>〇</t>
        </is>
      </c>
      <c r="R25" s="6" t="inlineStr">
        <is>
          <t>〇</t>
        </is>
      </c>
      <c r="S25" s="6" t="inlineStr">
        <is>
          <t>〇</t>
        </is>
      </c>
      <c r="T25" s="6" t="inlineStr">
        <is>
          <t>〇</t>
        </is>
      </c>
      <c r="U25" s="6" t="inlineStr">
        <is>
          <t>〇</t>
        </is>
      </c>
      <c r="V25" s="6" t="inlineStr">
        <is>
          <t>〇</t>
        </is>
      </c>
      <c r="W25" s="6" t="inlineStr">
        <is>
          <t>〇</t>
        </is>
      </c>
      <c r="X25" s="6" t="inlineStr">
        <is>
          <t>〇</t>
        </is>
      </c>
      <c r="Y25" s="6" t="inlineStr">
        <is>
          <t>〇</t>
        </is>
      </c>
      <c r="Z25" s="6" t="inlineStr">
        <is>
          <t>〇</t>
        </is>
      </c>
      <c r="AA25" s="6" t="inlineStr">
        <is>
          <t>〇</t>
        </is>
      </c>
      <c r="AB25" s="6" t="inlineStr">
        <is>
          <t>〇</t>
        </is>
      </c>
      <c r="AC25" s="6" t="inlineStr">
        <is>
          <t>〇</t>
        </is>
      </c>
      <c r="AD25" s="8">
        <f>SUM(COUNTIF(B25:AC25,"○"),COUNTIF(B25:AC25,"〇"),COUNTIF(B25:AC25,"出"),COUNTIF(B25:AC25,"早"),COUNTIF(B25:AC25,"遅"),COUNTIF(B25:AC25,"E"),COUNTIF(B25:AC25,"8時"),COUNTIF(B25:AC25,"ハヤ"),COUNTIF(B25:AC25,"オソ"),COUNTIF(B25:AC25,"イブ"))</f>
        <v>0</v>
      </c>
      <c r="AE25" s="8">
        <f>COUNTIF(B25:AC25,"休")+0.5*(COUNTIF(B25:AC25,"○/休")+COUNTIF(B25:AC25,"〇/休")+COUNTIF(B25:AC25,"休/○")+COUNTIF(B25:AC25,"休/〇"))</f>
        <v>0</v>
      </c>
      <c r="AF25" s="8">
        <f>COUNTIF(B25:AC25,"有")+0.5*(COUNTIF(B25:AC25,"○/有")+COUNTIF(B25:AC25,"〇/有")+COUNTIF(B25:AC25,"有/○")+COUNTIF(B25:AC25,"有/〇"))</f>
        <v>0</v>
      </c>
      <c r="AG25" s="8">
        <f>COUNTIF(B25:AC25,"上1")+COUNTIF(B25:AC25,"上2")+COUNTIF(B25:AC25,"上3")+COUNTIF(B25:AC25,"上4")+COUNTIF(B25:AC25,"上5")+COUNTIF(B25:AC25,"下1")+COUNTIF(B25:AC25,"下2")+COUNTIF(B25:AC25,"下3")</f>
        <v>0</v>
      </c>
      <c r="AH25" s="13">
        <f>COUNTIF(B25:AC25,"早")+COUNTIF(B25:AC25,"ハヤ")</f>
        <v>0</v>
      </c>
      <c r="AI25" s="13">
        <f>COUNTIF(B25:AC25,"遅")+COUNTIF(B25:AC25,"オソ")</f>
        <v>0</v>
      </c>
      <c r="AJ25" s="13">
        <f>COUNTIF(B25:AC25,"E")+COUNTIF(B25:AC25,"イブ")</f>
        <v>0</v>
      </c>
      <c r="AK25" s="13">
        <f>COUNTIF(B25:AC25,"8時")</f>
        <v>0</v>
      </c>
    </row>
    <row r="26" ht="20" customHeight="1">
      <c r="A26" s="5" t="inlineStr">
        <is>
          <t>スタッフ23</t>
        </is>
      </c>
      <c r="B26" s="6" t="inlineStr">
        <is>
          <t>〇</t>
        </is>
      </c>
      <c r="C26" s="6" t="inlineStr">
        <is>
          <t>〇</t>
        </is>
      </c>
      <c r="D26" s="6" t="inlineStr">
        <is>
          <t>〇</t>
        </is>
      </c>
      <c r="E26" s="6" t="inlineStr">
        <is>
          <t>〇</t>
        </is>
      </c>
      <c r="F26" s="6" t="inlineStr">
        <is>
          <t>〇</t>
        </is>
      </c>
      <c r="G26" s="6" t="inlineStr">
        <is>
          <t>〇</t>
        </is>
      </c>
      <c r="H26" s="6" t="inlineStr">
        <is>
          <t>〇</t>
        </is>
      </c>
      <c r="I26" s="6" t="inlineStr">
        <is>
          <t>〇</t>
        </is>
      </c>
      <c r="J26" s="6" t="inlineStr">
        <is>
          <t>〇</t>
        </is>
      </c>
      <c r="K26" s="6" t="inlineStr">
        <is>
          <t>〇</t>
        </is>
      </c>
      <c r="L26" s="6" t="inlineStr">
        <is>
          <t>〇</t>
        </is>
      </c>
      <c r="M26" s="6" t="inlineStr">
        <is>
          <t>〇</t>
        </is>
      </c>
      <c r="N26" s="6" t="inlineStr">
        <is>
          <t>〇</t>
        </is>
      </c>
      <c r="O26" s="6" t="inlineStr">
        <is>
          <t>〇</t>
        </is>
      </c>
      <c r="P26" s="6" t="inlineStr">
        <is>
          <t>〇</t>
        </is>
      </c>
      <c r="Q26" s="6" t="inlineStr">
        <is>
          <t>〇</t>
        </is>
      </c>
      <c r="R26" s="6" t="inlineStr">
        <is>
          <t>〇</t>
        </is>
      </c>
      <c r="S26" s="6" t="inlineStr">
        <is>
          <t>〇</t>
        </is>
      </c>
      <c r="T26" s="6" t="inlineStr">
        <is>
          <t>〇</t>
        </is>
      </c>
      <c r="U26" s="6" t="inlineStr">
        <is>
          <t>〇</t>
        </is>
      </c>
      <c r="V26" s="6" t="inlineStr">
        <is>
          <t>〇</t>
        </is>
      </c>
      <c r="W26" s="6" t="inlineStr">
        <is>
          <t>〇</t>
        </is>
      </c>
      <c r="X26" s="6" t="inlineStr">
        <is>
          <t>〇</t>
        </is>
      </c>
      <c r="Y26" s="6" t="inlineStr">
        <is>
          <t>〇</t>
        </is>
      </c>
      <c r="Z26" s="6" t="inlineStr">
        <is>
          <t>〇</t>
        </is>
      </c>
      <c r="AA26" s="6" t="inlineStr">
        <is>
          <t>〇</t>
        </is>
      </c>
      <c r="AB26" s="6" t="inlineStr">
        <is>
          <t>〇</t>
        </is>
      </c>
      <c r="AC26" s="6" t="inlineStr">
        <is>
          <t>〇</t>
        </is>
      </c>
      <c r="AD26" s="8">
        <f>SUM(COUNTIF(B26:AC26,"○"),COUNTIF(B26:AC26,"〇"),COUNTIF(B26:AC26,"出"),COUNTIF(B26:AC26,"早"),COUNTIF(B26:AC26,"遅"),COUNTIF(B26:AC26,"E"),COUNTIF(B26:AC26,"8時"),COUNTIF(B26:AC26,"ハヤ"),COUNTIF(B26:AC26,"オソ"),COUNTIF(B26:AC26,"イブ"))</f>
        <v>0</v>
      </c>
      <c r="AE26" s="8">
        <f>COUNTIF(B26:AC26,"休")+0.5*(COUNTIF(B26:AC26,"○/休")+COUNTIF(B26:AC26,"〇/休")+COUNTIF(B26:AC26,"休/○")+COUNTIF(B26:AC26,"休/〇"))</f>
        <v>0</v>
      </c>
      <c r="AF26" s="8">
        <f>COUNTIF(B26:AC26,"有")+0.5*(COUNTIF(B26:AC26,"○/有")+COUNTIF(B26:AC26,"〇/有")+COUNTIF(B26:AC26,"有/○")+COUNTIF(B26:AC26,"有/〇"))</f>
        <v>0</v>
      </c>
      <c r="AG26" s="8">
        <f>COUNTIF(B26:AC26,"上1")+COUNTIF(B26:AC26,"上2")+COUNTIF(B26:AC26,"上3")+COUNTIF(B26:AC26,"上4")+COUNTIF(B26:AC26,"上5")+COUNTIF(B26:AC26,"下1")+COUNTIF(B26:AC26,"下2")+COUNTIF(B26:AC26,"下3")</f>
        <v>0</v>
      </c>
      <c r="AH26" s="13">
        <f>COUNTIF(B26:AC26,"早")+COUNTIF(B26:AC26,"ハヤ")</f>
        <v>0</v>
      </c>
      <c r="AI26" s="13">
        <f>COUNTIF(B26:AC26,"遅")+COUNTIF(B26:AC26,"オソ")</f>
        <v>0</v>
      </c>
      <c r="AJ26" s="13">
        <f>COUNTIF(B26:AC26,"E")+COUNTIF(B26:AC26,"イブ")</f>
        <v>0</v>
      </c>
      <c r="AK26" s="13">
        <f>COUNTIF(B26:AC26,"8時")</f>
        <v>0</v>
      </c>
    </row>
    <row r="27" ht="20" customHeight="1">
      <c r="A27" s="5" t="inlineStr">
        <is>
          <t>スタッフ24</t>
        </is>
      </c>
      <c r="B27" s="6" t="inlineStr">
        <is>
          <t>〇</t>
        </is>
      </c>
      <c r="C27" s="6" t="inlineStr">
        <is>
          <t>〇</t>
        </is>
      </c>
      <c r="D27" s="6" t="inlineStr">
        <is>
          <t>〇</t>
        </is>
      </c>
      <c r="E27" s="6" t="inlineStr">
        <is>
          <t>〇</t>
        </is>
      </c>
      <c r="F27" s="6" t="inlineStr">
        <is>
          <t>〇</t>
        </is>
      </c>
      <c r="G27" s="6" t="inlineStr">
        <is>
          <t>〇</t>
        </is>
      </c>
      <c r="H27" s="6" t="inlineStr">
        <is>
          <t>〇</t>
        </is>
      </c>
      <c r="I27" s="6" t="inlineStr">
        <is>
          <t>〇</t>
        </is>
      </c>
      <c r="J27" s="6" t="inlineStr">
        <is>
          <t>〇</t>
        </is>
      </c>
      <c r="K27" s="6" t="inlineStr">
        <is>
          <t>〇</t>
        </is>
      </c>
      <c r="L27" s="6" t="inlineStr">
        <is>
          <t>〇</t>
        </is>
      </c>
      <c r="M27" s="6" t="inlineStr">
        <is>
          <t>〇</t>
        </is>
      </c>
      <c r="N27" s="6" t="inlineStr">
        <is>
          <t>〇</t>
        </is>
      </c>
      <c r="O27" s="6" t="inlineStr">
        <is>
          <t>〇</t>
        </is>
      </c>
      <c r="P27" s="6" t="inlineStr">
        <is>
          <t>〇</t>
        </is>
      </c>
      <c r="Q27" s="6" t="inlineStr">
        <is>
          <t>〇</t>
        </is>
      </c>
      <c r="R27" s="6" t="inlineStr">
        <is>
          <t>〇</t>
        </is>
      </c>
      <c r="S27" s="6" t="inlineStr">
        <is>
          <t>〇</t>
        </is>
      </c>
      <c r="T27" s="6" t="inlineStr">
        <is>
          <t>〇</t>
        </is>
      </c>
      <c r="U27" s="6" t="inlineStr">
        <is>
          <t>〇</t>
        </is>
      </c>
      <c r="V27" s="6" t="inlineStr">
        <is>
          <t>〇</t>
        </is>
      </c>
      <c r="W27" s="6" t="inlineStr">
        <is>
          <t>〇</t>
        </is>
      </c>
      <c r="X27" s="6" t="inlineStr">
        <is>
          <t>〇</t>
        </is>
      </c>
      <c r="Y27" s="6" t="inlineStr">
        <is>
          <t>〇</t>
        </is>
      </c>
      <c r="Z27" s="6" t="inlineStr">
        <is>
          <t>〇</t>
        </is>
      </c>
      <c r="AA27" s="6" t="inlineStr">
        <is>
          <t>〇</t>
        </is>
      </c>
      <c r="AB27" s="6" t="inlineStr">
        <is>
          <t>〇</t>
        </is>
      </c>
      <c r="AC27" s="6" t="inlineStr">
        <is>
          <t>〇</t>
        </is>
      </c>
      <c r="AD27" s="8">
        <f>SUM(COUNTIF(B27:AC27,"○"),COUNTIF(B27:AC27,"〇"),COUNTIF(B27:AC27,"出"),COUNTIF(B27:AC27,"早"),COUNTIF(B27:AC27,"遅"),COUNTIF(B27:AC27,"E"),COUNTIF(B27:AC27,"8時"),COUNTIF(B27:AC27,"ハヤ"),COUNTIF(B27:AC27,"オソ"),COUNTIF(B27:AC27,"イブ"))</f>
        <v>0</v>
      </c>
      <c r="AE27" s="8">
        <f>COUNTIF(B27:AC27,"休")+0.5*(COUNTIF(B27:AC27,"○/休")+COUNTIF(B27:AC27,"〇/休")+COUNTIF(B27:AC27,"休/○")+COUNTIF(B27:AC27,"休/〇"))</f>
        <v>0</v>
      </c>
      <c r="AF27" s="8">
        <f>COUNTIF(B27:AC27,"有")+0.5*(COUNTIF(B27:AC27,"○/有")+COUNTIF(B27:AC27,"〇/有")+COUNTIF(B27:AC27,"有/○")+COUNTIF(B27:AC27,"有/〇"))</f>
        <v>0</v>
      </c>
      <c r="AG27" s="8">
        <f>COUNTIF(B27:AC27,"上1")+COUNTIF(B27:AC27,"上2")+COUNTIF(B27:AC27,"上3")+COUNTIF(B27:AC27,"上4")+COUNTIF(B27:AC27,"上5")+COUNTIF(B27:AC27,"下1")+COUNTIF(B27:AC27,"下2")+COUNTIF(B27:AC27,"下3")</f>
        <v>0</v>
      </c>
      <c r="AH27" s="13">
        <f>COUNTIF(B27:AC27,"早")+COUNTIF(B27:AC27,"ハヤ")</f>
        <v>0</v>
      </c>
      <c r="AI27" s="13">
        <f>COUNTIF(B27:AC27,"遅")+COUNTIF(B27:AC27,"オソ")</f>
        <v>0</v>
      </c>
      <c r="AJ27" s="13">
        <f>COUNTIF(B27:AC27,"E")+COUNTIF(B27:AC27,"イブ")</f>
        <v>0</v>
      </c>
      <c r="AK27" s="13">
        <f>COUNTIF(B27:AC27,"8時")</f>
        <v>0</v>
      </c>
    </row>
    <row r="28" ht="20" customHeight="1">
      <c r="A28" s="5" t="inlineStr">
        <is>
          <t>スタッフ25</t>
        </is>
      </c>
      <c r="B28" s="6" t="inlineStr">
        <is>
          <t>〇</t>
        </is>
      </c>
      <c r="C28" s="6" t="inlineStr">
        <is>
          <t>〇</t>
        </is>
      </c>
      <c r="D28" s="6" t="inlineStr">
        <is>
          <t>〇</t>
        </is>
      </c>
      <c r="E28" s="6" t="inlineStr">
        <is>
          <t>〇</t>
        </is>
      </c>
      <c r="F28" s="6" t="inlineStr">
        <is>
          <t>〇</t>
        </is>
      </c>
      <c r="G28" s="6" t="inlineStr">
        <is>
          <t>〇</t>
        </is>
      </c>
      <c r="H28" s="6" t="inlineStr">
        <is>
          <t>〇</t>
        </is>
      </c>
      <c r="I28" s="6" t="inlineStr">
        <is>
          <t>〇</t>
        </is>
      </c>
      <c r="J28" s="6" t="inlineStr">
        <is>
          <t>〇</t>
        </is>
      </c>
      <c r="K28" s="6" t="inlineStr">
        <is>
          <t>〇</t>
        </is>
      </c>
      <c r="L28" s="6" t="inlineStr">
        <is>
          <t>〇</t>
        </is>
      </c>
      <c r="M28" s="6" t="inlineStr">
        <is>
          <t>〇</t>
        </is>
      </c>
      <c r="N28" s="6" t="inlineStr">
        <is>
          <t>〇</t>
        </is>
      </c>
      <c r="O28" s="6" t="inlineStr">
        <is>
          <t>〇</t>
        </is>
      </c>
      <c r="P28" s="6" t="inlineStr">
        <is>
          <t>〇</t>
        </is>
      </c>
      <c r="Q28" s="6" t="inlineStr">
        <is>
          <t>〇</t>
        </is>
      </c>
      <c r="R28" s="6" t="inlineStr">
        <is>
          <t>〇</t>
        </is>
      </c>
      <c r="S28" s="6" t="inlineStr">
        <is>
          <t>〇</t>
        </is>
      </c>
      <c r="T28" s="6" t="inlineStr">
        <is>
          <t>〇</t>
        </is>
      </c>
      <c r="U28" s="6" t="inlineStr">
        <is>
          <t>〇</t>
        </is>
      </c>
      <c r="V28" s="6" t="inlineStr">
        <is>
          <t>〇</t>
        </is>
      </c>
      <c r="W28" s="6" t="inlineStr">
        <is>
          <t>〇</t>
        </is>
      </c>
      <c r="X28" s="6" t="inlineStr">
        <is>
          <t>〇</t>
        </is>
      </c>
      <c r="Y28" s="6" t="inlineStr">
        <is>
          <t>〇</t>
        </is>
      </c>
      <c r="Z28" s="6" t="inlineStr">
        <is>
          <t>〇</t>
        </is>
      </c>
      <c r="AA28" s="6" t="inlineStr">
        <is>
          <t>〇</t>
        </is>
      </c>
      <c r="AB28" s="6" t="inlineStr">
        <is>
          <t>〇</t>
        </is>
      </c>
      <c r="AC28" s="6" t="inlineStr">
        <is>
          <t>〇</t>
        </is>
      </c>
      <c r="AD28" s="8">
        <f>SUM(COUNTIF(B28:AC28,"○"),COUNTIF(B28:AC28,"〇"),COUNTIF(B28:AC28,"出"),COUNTIF(B28:AC28,"早"),COUNTIF(B28:AC28,"遅"),COUNTIF(B28:AC28,"E"),COUNTIF(B28:AC28,"8時"),COUNTIF(B28:AC28,"ハヤ"),COUNTIF(B28:AC28,"オソ"),COUNTIF(B28:AC28,"イブ"))</f>
        <v>0</v>
      </c>
      <c r="AE28" s="8">
        <f>COUNTIF(B28:AC28,"休")+0.5*(COUNTIF(B28:AC28,"○/休")+COUNTIF(B28:AC28,"〇/休")+COUNTIF(B28:AC28,"休/○")+COUNTIF(B28:AC28,"休/〇"))</f>
        <v>0</v>
      </c>
      <c r="AF28" s="8">
        <f>COUNTIF(B28:AC28,"有")+0.5*(COUNTIF(B28:AC28,"○/有")+COUNTIF(B28:AC28,"〇/有")+COUNTIF(B28:AC28,"有/○")+COUNTIF(B28:AC28,"有/〇"))</f>
        <v>0</v>
      </c>
      <c r="AG28" s="8">
        <f>COUNTIF(B28:AC28,"上1")+COUNTIF(B28:AC28,"上2")+COUNTIF(B28:AC28,"上3")+COUNTIF(B28:AC28,"上4")+COUNTIF(B28:AC28,"上5")+COUNTIF(B28:AC28,"下1")+COUNTIF(B28:AC28,"下2")+COUNTIF(B28:AC28,"下3")</f>
        <v>0</v>
      </c>
      <c r="AH28" s="13">
        <f>COUNTIF(B28:AC28,"早")+COUNTIF(B28:AC28,"ハヤ")</f>
        <v>0</v>
      </c>
      <c r="AI28" s="13">
        <f>COUNTIF(B28:AC28,"遅")+COUNTIF(B28:AC28,"オソ")</f>
        <v>0</v>
      </c>
      <c r="AJ28" s="13">
        <f>COUNTIF(B28:AC28,"E")+COUNTIF(B28:AC28,"イブ")</f>
        <v>0</v>
      </c>
      <c r="AK28" s="13">
        <f>COUNTIF(B28:AC28,"8時")</f>
        <v>0</v>
      </c>
    </row>
    <row r="29" ht="20" customHeight="1">
      <c r="A29" s="5" t="inlineStr">
        <is>
          <t>スタッフ26</t>
        </is>
      </c>
      <c r="B29" s="6" t="inlineStr">
        <is>
          <t>〇</t>
        </is>
      </c>
      <c r="C29" s="6" t="inlineStr">
        <is>
          <t>〇</t>
        </is>
      </c>
      <c r="D29" s="6" t="inlineStr">
        <is>
          <t>〇</t>
        </is>
      </c>
      <c r="E29" s="6" t="inlineStr">
        <is>
          <t>〇</t>
        </is>
      </c>
      <c r="F29" s="6" t="inlineStr">
        <is>
          <t>〇</t>
        </is>
      </c>
      <c r="G29" s="6" t="inlineStr">
        <is>
          <t>〇</t>
        </is>
      </c>
      <c r="H29" s="6" t="inlineStr">
        <is>
          <t>〇</t>
        </is>
      </c>
      <c r="I29" s="6" t="inlineStr">
        <is>
          <t>〇</t>
        </is>
      </c>
      <c r="J29" s="6" t="inlineStr">
        <is>
          <t>〇</t>
        </is>
      </c>
      <c r="K29" s="6" t="inlineStr">
        <is>
          <t>〇</t>
        </is>
      </c>
      <c r="L29" s="6" t="inlineStr">
        <is>
          <t>〇</t>
        </is>
      </c>
      <c r="M29" s="6" t="inlineStr">
        <is>
          <t>〇</t>
        </is>
      </c>
      <c r="N29" s="6" t="inlineStr">
        <is>
          <t>〇</t>
        </is>
      </c>
      <c r="O29" s="6" t="inlineStr">
        <is>
          <t>〇</t>
        </is>
      </c>
      <c r="P29" s="6" t="inlineStr">
        <is>
          <t>〇</t>
        </is>
      </c>
      <c r="Q29" s="6" t="inlineStr">
        <is>
          <t>〇</t>
        </is>
      </c>
      <c r="R29" s="6" t="inlineStr">
        <is>
          <t>〇</t>
        </is>
      </c>
      <c r="S29" s="6" t="inlineStr">
        <is>
          <t>〇</t>
        </is>
      </c>
      <c r="T29" s="6" t="inlineStr">
        <is>
          <t>〇</t>
        </is>
      </c>
      <c r="U29" s="6" t="inlineStr">
        <is>
          <t>〇</t>
        </is>
      </c>
      <c r="V29" s="6" t="inlineStr">
        <is>
          <t>〇</t>
        </is>
      </c>
      <c r="W29" s="6" t="inlineStr">
        <is>
          <t>〇</t>
        </is>
      </c>
      <c r="X29" s="6" t="inlineStr">
        <is>
          <t>〇</t>
        </is>
      </c>
      <c r="Y29" s="6" t="inlineStr">
        <is>
          <t>〇</t>
        </is>
      </c>
      <c r="Z29" s="6" t="inlineStr">
        <is>
          <t>〇</t>
        </is>
      </c>
      <c r="AA29" s="6" t="inlineStr">
        <is>
          <t>〇</t>
        </is>
      </c>
      <c r="AB29" s="6" t="inlineStr">
        <is>
          <t>〇</t>
        </is>
      </c>
      <c r="AC29" s="6" t="inlineStr">
        <is>
          <t>〇</t>
        </is>
      </c>
      <c r="AD29" s="8">
        <f>SUM(COUNTIF(B29:AC29,"○"),COUNTIF(B29:AC29,"〇"),COUNTIF(B29:AC29,"出"),COUNTIF(B29:AC29,"早"),COUNTIF(B29:AC29,"遅"),COUNTIF(B29:AC29,"E"),COUNTIF(B29:AC29,"8時"),COUNTIF(B29:AC29,"ハヤ"),COUNTIF(B29:AC29,"オソ"),COUNTIF(B29:AC29,"イブ"))</f>
        <v>0</v>
      </c>
      <c r="AE29" s="8">
        <f>COUNTIF(B29:AC29,"休")+0.5*(COUNTIF(B29:AC29,"○/休")+COUNTIF(B29:AC29,"〇/休")+COUNTIF(B29:AC29,"休/○")+COUNTIF(B29:AC29,"休/〇"))</f>
        <v>0</v>
      </c>
      <c r="AF29" s="8">
        <f>COUNTIF(B29:AC29,"有")+0.5*(COUNTIF(B29:AC29,"○/有")+COUNTIF(B29:AC29,"〇/有")+COUNTIF(B29:AC29,"有/○")+COUNTIF(B29:AC29,"有/〇"))</f>
        <v>0</v>
      </c>
      <c r="AG29" s="8">
        <f>COUNTIF(B29:AC29,"上1")+COUNTIF(B29:AC29,"上2")+COUNTIF(B29:AC29,"上3")+COUNTIF(B29:AC29,"上4")+COUNTIF(B29:AC29,"上5")+COUNTIF(B29:AC29,"下1")+COUNTIF(B29:AC29,"下2")+COUNTIF(B29:AC29,"下3")</f>
        <v>0</v>
      </c>
      <c r="AH29" s="13">
        <f>COUNTIF(B29:AC29,"早")+COUNTIF(B29:AC29,"ハヤ")</f>
        <v>0</v>
      </c>
      <c r="AI29" s="13">
        <f>COUNTIF(B29:AC29,"遅")+COUNTIF(B29:AC29,"オソ")</f>
        <v>0</v>
      </c>
      <c r="AJ29" s="13">
        <f>COUNTIF(B29:AC29,"E")+COUNTIF(B29:AC29,"イブ")</f>
        <v>0</v>
      </c>
      <c r="AK29" s="13">
        <f>COUNTIF(B29:AC29,"8時")</f>
        <v>0</v>
      </c>
    </row>
    <row r="30" ht="20" customHeight="1">
      <c r="A30" s="5" t="inlineStr">
        <is>
          <t>スタッフ27</t>
        </is>
      </c>
      <c r="B30" s="6" t="inlineStr">
        <is>
          <t>〇</t>
        </is>
      </c>
      <c r="C30" s="6" t="inlineStr">
        <is>
          <t>〇</t>
        </is>
      </c>
      <c r="D30" s="6" t="inlineStr">
        <is>
          <t>〇</t>
        </is>
      </c>
      <c r="E30" s="6" t="inlineStr">
        <is>
          <t>〇</t>
        </is>
      </c>
      <c r="F30" s="6" t="inlineStr">
        <is>
          <t>〇</t>
        </is>
      </c>
      <c r="G30" s="6" t="inlineStr">
        <is>
          <t>〇</t>
        </is>
      </c>
      <c r="H30" s="6" t="inlineStr">
        <is>
          <t>〇</t>
        </is>
      </c>
      <c r="I30" s="6" t="inlineStr">
        <is>
          <t>〇</t>
        </is>
      </c>
      <c r="J30" s="6" t="inlineStr">
        <is>
          <t>〇</t>
        </is>
      </c>
      <c r="K30" s="6" t="inlineStr">
        <is>
          <t>〇</t>
        </is>
      </c>
      <c r="L30" s="6" t="inlineStr">
        <is>
          <t>〇</t>
        </is>
      </c>
      <c r="M30" s="6" t="inlineStr">
        <is>
          <t>〇</t>
        </is>
      </c>
      <c r="N30" s="6" t="inlineStr">
        <is>
          <t>〇</t>
        </is>
      </c>
      <c r="O30" s="6" t="inlineStr">
        <is>
          <t>〇</t>
        </is>
      </c>
      <c r="P30" s="6" t="inlineStr">
        <is>
          <t>〇</t>
        </is>
      </c>
      <c r="Q30" s="6" t="inlineStr">
        <is>
          <t>〇</t>
        </is>
      </c>
      <c r="R30" s="6" t="inlineStr">
        <is>
          <t>〇</t>
        </is>
      </c>
      <c r="S30" s="6" t="inlineStr">
        <is>
          <t>〇</t>
        </is>
      </c>
      <c r="T30" s="6" t="inlineStr">
        <is>
          <t>〇</t>
        </is>
      </c>
      <c r="U30" s="6" t="inlineStr">
        <is>
          <t>〇</t>
        </is>
      </c>
      <c r="V30" s="6" t="inlineStr">
        <is>
          <t>〇</t>
        </is>
      </c>
      <c r="W30" s="6" t="inlineStr">
        <is>
          <t>〇</t>
        </is>
      </c>
      <c r="X30" s="6" t="inlineStr">
        <is>
          <t>〇</t>
        </is>
      </c>
      <c r="Y30" s="6" t="inlineStr">
        <is>
          <t>〇</t>
        </is>
      </c>
      <c r="Z30" s="6" t="inlineStr">
        <is>
          <t>〇</t>
        </is>
      </c>
      <c r="AA30" s="6" t="inlineStr">
        <is>
          <t>〇</t>
        </is>
      </c>
      <c r="AB30" s="6" t="inlineStr">
        <is>
          <t>〇</t>
        </is>
      </c>
      <c r="AC30" s="6" t="inlineStr">
        <is>
          <t>〇</t>
        </is>
      </c>
      <c r="AD30" s="8">
        <f>SUM(COUNTIF(B30:AC30,"○"),COUNTIF(B30:AC30,"〇"),COUNTIF(B30:AC30,"出"),COUNTIF(B30:AC30,"早"),COUNTIF(B30:AC30,"遅"),COUNTIF(B30:AC30,"E"),COUNTIF(B30:AC30,"8時"),COUNTIF(B30:AC30,"ハヤ"),COUNTIF(B30:AC30,"オソ"),COUNTIF(B30:AC30,"イブ"))</f>
        <v>0</v>
      </c>
      <c r="AE30" s="8">
        <f>COUNTIF(B30:AC30,"休")+0.5*(COUNTIF(B30:AC30,"○/休")+COUNTIF(B30:AC30,"〇/休")+COUNTIF(B30:AC30,"休/○")+COUNTIF(B30:AC30,"休/〇"))</f>
        <v>0</v>
      </c>
      <c r="AF30" s="8">
        <f>COUNTIF(B30:AC30,"有")+0.5*(COUNTIF(B30:AC30,"○/有")+COUNTIF(B30:AC30,"〇/有")+COUNTIF(B30:AC30,"有/○")+COUNTIF(B30:AC30,"有/〇"))</f>
        <v>0</v>
      </c>
      <c r="AG30" s="8">
        <f>COUNTIF(B30:AC30,"上1")+COUNTIF(B30:AC30,"上2")+COUNTIF(B30:AC30,"上3")+COUNTIF(B30:AC30,"上4")+COUNTIF(B30:AC30,"上5")+COUNTIF(B30:AC30,"下1")+COUNTIF(B30:AC30,"下2")+COUNTIF(B30:AC30,"下3")</f>
        <v>0</v>
      </c>
      <c r="AH30" s="13">
        <f>COUNTIF(B30:AC30,"早")+COUNTIF(B30:AC30,"ハヤ")</f>
        <v>0</v>
      </c>
      <c r="AI30" s="13">
        <f>COUNTIF(B30:AC30,"遅")+COUNTIF(B30:AC30,"オソ")</f>
        <v>0</v>
      </c>
      <c r="AJ30" s="13">
        <f>COUNTIF(B30:AC30,"E")+COUNTIF(B30:AC30,"イブ")</f>
        <v>0</v>
      </c>
      <c r="AK30" s="13">
        <f>COUNTIF(B30:AC30,"8時")</f>
        <v>0</v>
      </c>
    </row>
    <row r="31" ht="20" customHeight="1">
      <c r="A31" s="5" t="inlineStr">
        <is>
          <t>スタッフ28</t>
        </is>
      </c>
      <c r="B31" s="6" t="inlineStr">
        <is>
          <t>〇</t>
        </is>
      </c>
      <c r="C31" s="6" t="inlineStr">
        <is>
          <t>〇</t>
        </is>
      </c>
      <c r="D31" s="6" t="inlineStr">
        <is>
          <t>〇</t>
        </is>
      </c>
      <c r="E31" s="6" t="inlineStr">
        <is>
          <t>〇</t>
        </is>
      </c>
      <c r="F31" s="6" t="inlineStr">
        <is>
          <t>〇</t>
        </is>
      </c>
      <c r="G31" s="6" t="inlineStr">
        <is>
          <t>〇</t>
        </is>
      </c>
      <c r="H31" s="6" t="inlineStr">
        <is>
          <t>〇</t>
        </is>
      </c>
      <c r="I31" s="6" t="inlineStr">
        <is>
          <t>〇</t>
        </is>
      </c>
      <c r="J31" s="6" t="inlineStr">
        <is>
          <t>〇</t>
        </is>
      </c>
      <c r="K31" s="6" t="inlineStr">
        <is>
          <t>〇</t>
        </is>
      </c>
      <c r="L31" s="6" t="inlineStr">
        <is>
          <t>〇</t>
        </is>
      </c>
      <c r="M31" s="6" t="inlineStr">
        <is>
          <t>〇</t>
        </is>
      </c>
      <c r="N31" s="6" t="inlineStr">
        <is>
          <t>〇</t>
        </is>
      </c>
      <c r="O31" s="6" t="inlineStr">
        <is>
          <t>〇</t>
        </is>
      </c>
      <c r="P31" s="6" t="inlineStr">
        <is>
          <t>〇</t>
        </is>
      </c>
      <c r="Q31" s="6" t="inlineStr">
        <is>
          <t>〇</t>
        </is>
      </c>
      <c r="R31" s="6" t="inlineStr">
        <is>
          <t>〇</t>
        </is>
      </c>
      <c r="S31" s="6" t="inlineStr">
        <is>
          <t>〇</t>
        </is>
      </c>
      <c r="T31" s="6" t="inlineStr">
        <is>
          <t>〇</t>
        </is>
      </c>
      <c r="U31" s="6" t="inlineStr">
        <is>
          <t>〇</t>
        </is>
      </c>
      <c r="V31" s="6" t="inlineStr">
        <is>
          <t>〇</t>
        </is>
      </c>
      <c r="W31" s="6" t="inlineStr">
        <is>
          <t>〇</t>
        </is>
      </c>
      <c r="X31" s="6" t="inlineStr">
        <is>
          <t>〇</t>
        </is>
      </c>
      <c r="Y31" s="6" t="inlineStr">
        <is>
          <t>〇</t>
        </is>
      </c>
      <c r="Z31" s="6" t="inlineStr">
        <is>
          <t>〇</t>
        </is>
      </c>
      <c r="AA31" s="6" t="inlineStr">
        <is>
          <t>〇</t>
        </is>
      </c>
      <c r="AB31" s="6" t="inlineStr">
        <is>
          <t>〇</t>
        </is>
      </c>
      <c r="AC31" s="6" t="inlineStr">
        <is>
          <t>〇</t>
        </is>
      </c>
      <c r="AD31" s="8">
        <f>SUM(COUNTIF(B31:AC31,"○"),COUNTIF(B31:AC31,"〇"),COUNTIF(B31:AC31,"出"),COUNTIF(B31:AC31,"早"),COUNTIF(B31:AC31,"遅"),COUNTIF(B31:AC31,"E"),COUNTIF(B31:AC31,"8時"),COUNTIF(B31:AC31,"ハヤ"),COUNTIF(B31:AC31,"オソ"),COUNTIF(B31:AC31,"イブ"))</f>
        <v>0</v>
      </c>
      <c r="AE31" s="8">
        <f>COUNTIF(B31:AC31,"休")+0.5*(COUNTIF(B31:AC31,"○/休")+COUNTIF(B31:AC31,"〇/休")+COUNTIF(B31:AC31,"休/○")+COUNTIF(B31:AC31,"休/〇"))</f>
        <v>0</v>
      </c>
      <c r="AF31" s="8">
        <f>COUNTIF(B31:AC31,"有")+0.5*(COUNTIF(B31:AC31,"○/有")+COUNTIF(B31:AC31,"〇/有")+COUNTIF(B31:AC31,"有/○")+COUNTIF(B31:AC31,"有/〇"))</f>
        <v>0</v>
      </c>
      <c r="AG31" s="8">
        <f>COUNTIF(B31:AC31,"上1")+COUNTIF(B31:AC31,"上2")+COUNTIF(B31:AC31,"上3")+COUNTIF(B31:AC31,"上4")+COUNTIF(B31:AC31,"上5")+COUNTIF(B31:AC31,"下1")+COUNTIF(B31:AC31,"下2")+COUNTIF(B31:AC31,"下3")</f>
        <v>0</v>
      </c>
      <c r="AH31" s="13">
        <f>COUNTIF(B31:AC31,"早")+COUNTIF(B31:AC31,"ハヤ")</f>
        <v>0</v>
      </c>
      <c r="AI31" s="13">
        <f>COUNTIF(B31:AC31,"遅")+COUNTIF(B31:AC31,"オソ")</f>
        <v>0</v>
      </c>
      <c r="AJ31" s="13">
        <f>COUNTIF(B31:AC31,"E")+COUNTIF(B31:AC31,"イブ")</f>
        <v>0</v>
      </c>
      <c r="AK31" s="13">
        <f>COUNTIF(B31:AC31,"8時")</f>
        <v>0</v>
      </c>
    </row>
    <row r="32" ht="20" customHeight="1">
      <c r="A32" s="5" t="inlineStr">
        <is>
          <t>スタッフ29</t>
        </is>
      </c>
      <c r="B32" s="6" t="inlineStr">
        <is>
          <t>〇</t>
        </is>
      </c>
      <c r="C32" s="6" t="inlineStr">
        <is>
          <t>〇</t>
        </is>
      </c>
      <c r="D32" s="6" t="inlineStr">
        <is>
          <t>〇</t>
        </is>
      </c>
      <c r="E32" s="6" t="inlineStr">
        <is>
          <t>〇</t>
        </is>
      </c>
      <c r="F32" s="6" t="inlineStr">
        <is>
          <t>〇</t>
        </is>
      </c>
      <c r="G32" s="6" t="inlineStr">
        <is>
          <t>〇</t>
        </is>
      </c>
      <c r="H32" s="6" t="inlineStr">
        <is>
          <t>〇</t>
        </is>
      </c>
      <c r="I32" s="6" t="inlineStr">
        <is>
          <t>〇</t>
        </is>
      </c>
      <c r="J32" s="6" t="inlineStr">
        <is>
          <t>〇</t>
        </is>
      </c>
      <c r="K32" s="6" t="inlineStr">
        <is>
          <t>〇</t>
        </is>
      </c>
      <c r="L32" s="6" t="inlineStr">
        <is>
          <t>〇</t>
        </is>
      </c>
      <c r="M32" s="6" t="inlineStr">
        <is>
          <t>〇</t>
        </is>
      </c>
      <c r="N32" s="6" t="inlineStr">
        <is>
          <t>〇</t>
        </is>
      </c>
      <c r="O32" s="6" t="inlineStr">
        <is>
          <t>〇</t>
        </is>
      </c>
      <c r="P32" s="6" t="inlineStr">
        <is>
          <t>〇</t>
        </is>
      </c>
      <c r="Q32" s="6" t="inlineStr">
        <is>
          <t>〇</t>
        </is>
      </c>
      <c r="R32" s="6" t="inlineStr">
        <is>
          <t>〇</t>
        </is>
      </c>
      <c r="S32" s="6" t="inlineStr">
        <is>
          <t>〇</t>
        </is>
      </c>
      <c r="T32" s="6" t="inlineStr">
        <is>
          <t>〇</t>
        </is>
      </c>
      <c r="U32" s="6" t="inlineStr">
        <is>
          <t>〇</t>
        </is>
      </c>
      <c r="V32" s="6" t="inlineStr">
        <is>
          <t>〇</t>
        </is>
      </c>
      <c r="W32" s="6" t="inlineStr">
        <is>
          <t>〇</t>
        </is>
      </c>
      <c r="X32" s="6" t="inlineStr">
        <is>
          <t>〇</t>
        </is>
      </c>
      <c r="Y32" s="6" t="inlineStr">
        <is>
          <t>〇</t>
        </is>
      </c>
      <c r="Z32" s="6" t="inlineStr">
        <is>
          <t>〇</t>
        </is>
      </c>
      <c r="AA32" s="6" t="inlineStr">
        <is>
          <t>〇</t>
        </is>
      </c>
      <c r="AB32" s="6" t="inlineStr">
        <is>
          <t>〇</t>
        </is>
      </c>
      <c r="AC32" s="6" t="inlineStr">
        <is>
          <t>〇</t>
        </is>
      </c>
      <c r="AD32" s="8">
        <f>SUM(COUNTIF(B32:AC32,"○"),COUNTIF(B32:AC32,"〇"),COUNTIF(B32:AC32,"出"),COUNTIF(B32:AC32,"早"),COUNTIF(B32:AC32,"遅"),COUNTIF(B32:AC32,"E"),COUNTIF(B32:AC32,"8時"),COUNTIF(B32:AC32,"ハヤ"),COUNTIF(B32:AC32,"オソ"),COUNTIF(B32:AC32,"イブ"))</f>
        <v>0</v>
      </c>
      <c r="AE32" s="8">
        <f>COUNTIF(B32:AC32,"休")+0.5*(COUNTIF(B32:AC32,"○/休")+COUNTIF(B32:AC32,"〇/休")+COUNTIF(B32:AC32,"休/○")+COUNTIF(B32:AC32,"休/〇"))</f>
        <v>0</v>
      </c>
      <c r="AF32" s="8">
        <f>COUNTIF(B32:AC32,"有")+0.5*(COUNTIF(B32:AC32,"○/有")+COUNTIF(B32:AC32,"〇/有")+COUNTIF(B32:AC32,"有/○")+COUNTIF(B32:AC32,"有/〇"))</f>
        <v>0</v>
      </c>
      <c r="AG32" s="8">
        <f>COUNTIF(B32:AC32,"上1")+COUNTIF(B32:AC32,"上2")+COUNTIF(B32:AC32,"上3")+COUNTIF(B32:AC32,"上4")+COUNTIF(B32:AC32,"上5")+COUNTIF(B32:AC32,"下1")+COUNTIF(B32:AC32,"下2")+COUNTIF(B32:AC32,"下3")</f>
        <v>0</v>
      </c>
      <c r="AH32" s="13">
        <f>COUNTIF(B32:AC32,"早")+COUNTIF(B32:AC32,"ハヤ")</f>
        <v>0</v>
      </c>
      <c r="AI32" s="13">
        <f>COUNTIF(B32:AC32,"遅")+COUNTIF(B32:AC32,"オソ")</f>
        <v>0</v>
      </c>
      <c r="AJ32" s="13">
        <f>COUNTIF(B32:AC32,"E")+COUNTIF(B32:AC32,"イブ")</f>
        <v>0</v>
      </c>
      <c r="AK32" s="13">
        <f>COUNTIF(B32:AC32,"8時")</f>
        <v>0</v>
      </c>
    </row>
    <row r="33" ht="20" customHeight="1">
      <c r="A33" s="5" t="inlineStr">
        <is>
          <t>スタッフ30</t>
        </is>
      </c>
      <c r="B33" s="6" t="inlineStr">
        <is>
          <t>〇</t>
        </is>
      </c>
      <c r="C33" s="6" t="inlineStr">
        <is>
          <t>〇</t>
        </is>
      </c>
      <c r="D33" s="6" t="inlineStr">
        <is>
          <t>〇</t>
        </is>
      </c>
      <c r="E33" s="6" t="inlineStr">
        <is>
          <t>〇</t>
        </is>
      </c>
      <c r="F33" s="6" t="inlineStr">
        <is>
          <t>〇</t>
        </is>
      </c>
      <c r="G33" s="6" t="inlineStr">
        <is>
          <t>〇</t>
        </is>
      </c>
      <c r="H33" s="6" t="inlineStr">
        <is>
          <t>〇</t>
        </is>
      </c>
      <c r="I33" s="6" t="inlineStr">
        <is>
          <t>〇</t>
        </is>
      </c>
      <c r="J33" s="6" t="inlineStr">
        <is>
          <t>〇</t>
        </is>
      </c>
      <c r="K33" s="6" t="inlineStr">
        <is>
          <t>〇</t>
        </is>
      </c>
      <c r="L33" s="6" t="inlineStr">
        <is>
          <t>〇</t>
        </is>
      </c>
      <c r="M33" s="6" t="inlineStr">
        <is>
          <t>〇</t>
        </is>
      </c>
      <c r="N33" s="6" t="inlineStr">
        <is>
          <t>〇</t>
        </is>
      </c>
      <c r="O33" s="6" t="inlineStr">
        <is>
          <t>〇</t>
        </is>
      </c>
      <c r="P33" s="6" t="inlineStr">
        <is>
          <t>〇</t>
        </is>
      </c>
      <c r="Q33" s="6" t="inlineStr">
        <is>
          <t>〇</t>
        </is>
      </c>
      <c r="R33" s="6" t="inlineStr">
        <is>
          <t>〇</t>
        </is>
      </c>
      <c r="S33" s="6" t="inlineStr">
        <is>
          <t>〇</t>
        </is>
      </c>
      <c r="T33" s="6" t="inlineStr">
        <is>
          <t>〇</t>
        </is>
      </c>
      <c r="U33" s="6" t="inlineStr">
        <is>
          <t>〇</t>
        </is>
      </c>
      <c r="V33" s="6" t="inlineStr">
        <is>
          <t>〇</t>
        </is>
      </c>
      <c r="W33" s="6" t="inlineStr">
        <is>
          <t>〇</t>
        </is>
      </c>
      <c r="X33" s="6" t="inlineStr">
        <is>
          <t>〇</t>
        </is>
      </c>
      <c r="Y33" s="6" t="inlineStr">
        <is>
          <t>〇</t>
        </is>
      </c>
      <c r="Z33" s="6" t="inlineStr">
        <is>
          <t>〇</t>
        </is>
      </c>
      <c r="AA33" s="6" t="inlineStr">
        <is>
          <t>〇</t>
        </is>
      </c>
      <c r="AB33" s="6" t="inlineStr">
        <is>
          <t>〇</t>
        </is>
      </c>
      <c r="AC33" s="6" t="inlineStr">
        <is>
          <t>〇</t>
        </is>
      </c>
      <c r="AD33" s="8">
        <f>SUM(COUNTIF(B33:AC33,"○"),COUNTIF(B33:AC33,"〇"),COUNTIF(B33:AC33,"出"),COUNTIF(B33:AC33,"早"),COUNTIF(B33:AC33,"遅"),COUNTIF(B33:AC33,"E"),COUNTIF(B33:AC33,"8時"),COUNTIF(B33:AC33,"ハヤ"),COUNTIF(B33:AC33,"オソ"),COUNTIF(B33:AC33,"イブ"))</f>
        <v>0</v>
      </c>
      <c r="AE33" s="8">
        <f>COUNTIF(B33:AC33,"休")+0.5*(COUNTIF(B33:AC33,"○/休")+COUNTIF(B33:AC33,"〇/休")+COUNTIF(B33:AC33,"休/○")+COUNTIF(B33:AC33,"休/〇"))</f>
        <v>0</v>
      </c>
      <c r="AF33" s="8">
        <f>COUNTIF(B33:AC33,"有")+0.5*(COUNTIF(B33:AC33,"○/有")+COUNTIF(B33:AC33,"〇/有")+COUNTIF(B33:AC33,"有/○")+COUNTIF(B33:AC33,"有/〇"))</f>
        <v>0</v>
      </c>
      <c r="AG33" s="8">
        <f>COUNTIF(B33:AC33,"上1")+COUNTIF(B33:AC33,"上2")+COUNTIF(B33:AC33,"上3")+COUNTIF(B33:AC33,"上4")+COUNTIF(B33:AC33,"上5")+COUNTIF(B33:AC33,"下1")+COUNTIF(B33:AC33,"下2")+COUNTIF(B33:AC33,"下3")</f>
        <v>0</v>
      </c>
      <c r="AH33" s="13">
        <f>COUNTIF(B33:AC33,"早")+COUNTIF(B33:AC33,"ハヤ")</f>
        <v>0</v>
      </c>
      <c r="AI33" s="13">
        <f>COUNTIF(B33:AC33,"遅")+COUNTIF(B33:AC33,"オソ")</f>
        <v>0</v>
      </c>
      <c r="AJ33" s="13">
        <f>COUNTIF(B33:AC33,"E")+COUNTIF(B33:AC33,"イブ")</f>
        <v>0</v>
      </c>
      <c r="AK33" s="13">
        <f>COUNTIF(B33:AC33,"8時")</f>
        <v>0</v>
      </c>
    </row>
    <row r="34" ht="20" customHeight="1">
      <c r="A34" s="5" t="inlineStr">
        <is>
          <t>スタッフ31</t>
        </is>
      </c>
      <c r="B34" s="6" t="inlineStr">
        <is>
          <t>〇</t>
        </is>
      </c>
      <c r="C34" s="6" t="inlineStr">
        <is>
          <t>〇</t>
        </is>
      </c>
      <c r="D34" s="6" t="inlineStr">
        <is>
          <t>〇</t>
        </is>
      </c>
      <c r="E34" s="6" t="inlineStr">
        <is>
          <t>〇</t>
        </is>
      </c>
      <c r="F34" s="6" t="inlineStr">
        <is>
          <t>〇</t>
        </is>
      </c>
      <c r="G34" s="6" t="inlineStr">
        <is>
          <t>〇</t>
        </is>
      </c>
      <c r="H34" s="6" t="inlineStr">
        <is>
          <t>〇</t>
        </is>
      </c>
      <c r="I34" s="6" t="inlineStr">
        <is>
          <t>〇</t>
        </is>
      </c>
      <c r="J34" s="6" t="inlineStr">
        <is>
          <t>〇</t>
        </is>
      </c>
      <c r="K34" s="6" t="inlineStr">
        <is>
          <t>〇</t>
        </is>
      </c>
      <c r="L34" s="6" t="inlineStr">
        <is>
          <t>〇</t>
        </is>
      </c>
      <c r="M34" s="6" t="inlineStr">
        <is>
          <t>〇</t>
        </is>
      </c>
      <c r="N34" s="6" t="inlineStr">
        <is>
          <t>〇</t>
        </is>
      </c>
      <c r="O34" s="6" t="inlineStr">
        <is>
          <t>〇</t>
        </is>
      </c>
      <c r="P34" s="6" t="inlineStr">
        <is>
          <t>〇</t>
        </is>
      </c>
      <c r="Q34" s="6" t="inlineStr">
        <is>
          <t>〇</t>
        </is>
      </c>
      <c r="R34" s="6" t="inlineStr">
        <is>
          <t>〇</t>
        </is>
      </c>
      <c r="S34" s="6" t="inlineStr">
        <is>
          <t>〇</t>
        </is>
      </c>
      <c r="T34" s="6" t="inlineStr">
        <is>
          <t>〇</t>
        </is>
      </c>
      <c r="U34" s="6" t="inlineStr">
        <is>
          <t>〇</t>
        </is>
      </c>
      <c r="V34" s="6" t="inlineStr">
        <is>
          <t>〇</t>
        </is>
      </c>
      <c r="W34" s="6" t="inlineStr">
        <is>
          <t>〇</t>
        </is>
      </c>
      <c r="X34" s="6" t="inlineStr">
        <is>
          <t>〇</t>
        </is>
      </c>
      <c r="Y34" s="6" t="inlineStr">
        <is>
          <t>〇</t>
        </is>
      </c>
      <c r="Z34" s="6" t="inlineStr">
        <is>
          <t>〇</t>
        </is>
      </c>
      <c r="AA34" s="6" t="inlineStr">
        <is>
          <t>〇</t>
        </is>
      </c>
      <c r="AB34" s="6" t="inlineStr">
        <is>
          <t>〇</t>
        </is>
      </c>
      <c r="AC34" s="6" t="inlineStr">
        <is>
          <t>〇</t>
        </is>
      </c>
      <c r="AD34" s="8">
        <f>SUM(COUNTIF(B34:AC34,"○"),COUNTIF(B34:AC34,"〇"),COUNTIF(B34:AC34,"出"),COUNTIF(B34:AC34,"早"),COUNTIF(B34:AC34,"遅"),COUNTIF(B34:AC34,"E"),COUNTIF(B34:AC34,"8時"),COUNTIF(B34:AC34,"ハヤ"),COUNTIF(B34:AC34,"オソ"),COUNTIF(B34:AC34,"イブ"))</f>
        <v>0</v>
      </c>
      <c r="AE34" s="8">
        <f>COUNTIF(B34:AC34,"休")+0.5*(COUNTIF(B34:AC34,"○/休")+COUNTIF(B34:AC34,"〇/休")+COUNTIF(B34:AC34,"休/○")+COUNTIF(B34:AC34,"休/〇"))</f>
        <v>0</v>
      </c>
      <c r="AF34" s="8">
        <f>COUNTIF(B34:AC34,"有")+0.5*(COUNTIF(B34:AC34,"○/有")+COUNTIF(B34:AC34,"〇/有")+COUNTIF(B34:AC34,"有/○")+COUNTIF(B34:AC34,"有/〇"))</f>
        <v>0</v>
      </c>
      <c r="AG34" s="8">
        <f>COUNTIF(B34:AC34,"上1")+COUNTIF(B34:AC34,"上2")+COUNTIF(B34:AC34,"上3")+COUNTIF(B34:AC34,"上4")+COUNTIF(B34:AC34,"上5")+COUNTIF(B34:AC34,"下1")+COUNTIF(B34:AC34,"下2")+COUNTIF(B34:AC34,"下3")</f>
        <v>0</v>
      </c>
      <c r="AH34" s="13">
        <f>COUNTIF(B34:AC34,"早")+COUNTIF(B34:AC34,"ハヤ")</f>
        <v>0</v>
      </c>
      <c r="AI34" s="13">
        <f>COUNTIF(B34:AC34,"遅")+COUNTIF(B34:AC34,"オソ")</f>
        <v>0</v>
      </c>
      <c r="AJ34" s="13">
        <f>COUNTIF(B34:AC34,"E")+COUNTIF(B34:AC34,"イブ")</f>
        <v>0</v>
      </c>
      <c r="AK34" s="13">
        <f>COUNTIF(B34:AC34,"8時")</f>
        <v>0</v>
      </c>
    </row>
    <row r="35" ht="20" customHeight="1">
      <c r="A35" s="5" t="inlineStr">
        <is>
          <t>スタッフ32</t>
        </is>
      </c>
      <c r="B35" s="6" t="inlineStr">
        <is>
          <t>〇</t>
        </is>
      </c>
      <c r="C35" s="6" t="inlineStr">
        <is>
          <t>〇</t>
        </is>
      </c>
      <c r="D35" s="6" t="inlineStr">
        <is>
          <t>〇</t>
        </is>
      </c>
      <c r="E35" s="6" t="inlineStr">
        <is>
          <t>〇</t>
        </is>
      </c>
      <c r="F35" s="6" t="inlineStr">
        <is>
          <t>〇</t>
        </is>
      </c>
      <c r="G35" s="6" t="inlineStr">
        <is>
          <t>〇</t>
        </is>
      </c>
      <c r="H35" s="6" t="inlineStr">
        <is>
          <t>〇</t>
        </is>
      </c>
      <c r="I35" s="6" t="inlineStr">
        <is>
          <t>〇</t>
        </is>
      </c>
      <c r="J35" s="6" t="inlineStr">
        <is>
          <t>〇</t>
        </is>
      </c>
      <c r="K35" s="6" t="inlineStr">
        <is>
          <t>〇</t>
        </is>
      </c>
      <c r="L35" s="6" t="inlineStr">
        <is>
          <t>〇</t>
        </is>
      </c>
      <c r="M35" s="6" t="inlineStr">
        <is>
          <t>〇</t>
        </is>
      </c>
      <c r="N35" s="6" t="inlineStr">
        <is>
          <t>〇</t>
        </is>
      </c>
      <c r="O35" s="6" t="inlineStr">
        <is>
          <t>〇</t>
        </is>
      </c>
      <c r="P35" s="6" t="inlineStr">
        <is>
          <t>〇</t>
        </is>
      </c>
      <c r="Q35" s="6" t="inlineStr">
        <is>
          <t>〇</t>
        </is>
      </c>
      <c r="R35" s="6" t="inlineStr">
        <is>
          <t>〇</t>
        </is>
      </c>
      <c r="S35" s="6" t="inlineStr">
        <is>
          <t>〇</t>
        </is>
      </c>
      <c r="T35" s="6" t="inlineStr">
        <is>
          <t>〇</t>
        </is>
      </c>
      <c r="U35" s="6" t="inlineStr">
        <is>
          <t>〇</t>
        </is>
      </c>
      <c r="V35" s="6" t="inlineStr">
        <is>
          <t>〇</t>
        </is>
      </c>
      <c r="W35" s="6" t="inlineStr">
        <is>
          <t>〇</t>
        </is>
      </c>
      <c r="X35" s="6" t="inlineStr">
        <is>
          <t>〇</t>
        </is>
      </c>
      <c r="Y35" s="6" t="inlineStr">
        <is>
          <t>〇</t>
        </is>
      </c>
      <c r="Z35" s="6" t="inlineStr">
        <is>
          <t>〇</t>
        </is>
      </c>
      <c r="AA35" s="6" t="inlineStr">
        <is>
          <t>〇</t>
        </is>
      </c>
      <c r="AB35" s="6" t="inlineStr">
        <is>
          <t>〇</t>
        </is>
      </c>
      <c r="AC35" s="6" t="inlineStr">
        <is>
          <t>〇</t>
        </is>
      </c>
      <c r="AD35" s="8">
        <f>SUM(COUNTIF(B35:AC35,"○"),COUNTIF(B35:AC35,"〇"),COUNTIF(B35:AC35,"出"),COUNTIF(B35:AC35,"早"),COUNTIF(B35:AC35,"遅"),COUNTIF(B35:AC35,"E"),COUNTIF(B35:AC35,"8時"),COUNTIF(B35:AC35,"ハヤ"),COUNTIF(B35:AC35,"オソ"),COUNTIF(B35:AC35,"イブ"))</f>
        <v>0</v>
      </c>
      <c r="AE35" s="8">
        <f>COUNTIF(B35:AC35,"休")+0.5*(COUNTIF(B35:AC35,"○/休")+COUNTIF(B35:AC35,"〇/休")+COUNTIF(B35:AC35,"休/○")+COUNTIF(B35:AC35,"休/〇"))</f>
        <v>0</v>
      </c>
      <c r="AF35" s="8">
        <f>COUNTIF(B35:AC35,"有")+0.5*(COUNTIF(B35:AC35,"○/有")+COUNTIF(B35:AC35,"〇/有")+COUNTIF(B35:AC35,"有/○")+COUNTIF(B35:AC35,"有/〇"))</f>
        <v>0</v>
      </c>
      <c r="AG35" s="8">
        <f>COUNTIF(B35:AC35,"上1")+COUNTIF(B35:AC35,"上2")+COUNTIF(B35:AC35,"上3")+COUNTIF(B35:AC35,"上4")+COUNTIF(B35:AC35,"上5")+COUNTIF(B35:AC35,"下1")+COUNTIF(B35:AC35,"下2")+COUNTIF(B35:AC35,"下3")</f>
        <v>0</v>
      </c>
      <c r="AH35" s="13">
        <f>COUNTIF(B35:AC35,"早")+COUNTIF(B35:AC35,"ハヤ")</f>
        <v>0</v>
      </c>
      <c r="AI35" s="13">
        <f>COUNTIF(B35:AC35,"遅")+COUNTIF(B35:AC35,"オソ")</f>
        <v>0</v>
      </c>
      <c r="AJ35" s="13">
        <f>COUNTIF(B35:AC35,"E")+COUNTIF(B35:AC35,"イブ")</f>
        <v>0</v>
      </c>
      <c r="AK35" s="13">
        <f>COUNTIF(B35:AC35,"8時")</f>
        <v>0</v>
      </c>
    </row>
    <row r="36" ht="20" customHeight="1">
      <c r="A36" s="5" t="inlineStr">
        <is>
          <t>スタッフ33</t>
        </is>
      </c>
      <c r="B36" s="6" t="inlineStr">
        <is>
          <t>〇</t>
        </is>
      </c>
      <c r="C36" s="6" t="inlineStr">
        <is>
          <t>〇</t>
        </is>
      </c>
      <c r="D36" s="6" t="inlineStr">
        <is>
          <t>〇</t>
        </is>
      </c>
      <c r="E36" s="6" t="inlineStr">
        <is>
          <t>〇</t>
        </is>
      </c>
      <c r="F36" s="6" t="inlineStr">
        <is>
          <t>〇</t>
        </is>
      </c>
      <c r="G36" s="6" t="inlineStr">
        <is>
          <t>〇</t>
        </is>
      </c>
      <c r="H36" s="6" t="inlineStr">
        <is>
          <t>〇</t>
        </is>
      </c>
      <c r="I36" s="6" t="inlineStr">
        <is>
          <t>〇</t>
        </is>
      </c>
      <c r="J36" s="6" t="inlineStr">
        <is>
          <t>〇</t>
        </is>
      </c>
      <c r="K36" s="6" t="inlineStr">
        <is>
          <t>〇</t>
        </is>
      </c>
      <c r="L36" s="6" t="inlineStr">
        <is>
          <t>〇</t>
        </is>
      </c>
      <c r="M36" s="6" t="inlineStr">
        <is>
          <t>〇</t>
        </is>
      </c>
      <c r="N36" s="6" t="inlineStr">
        <is>
          <t>〇</t>
        </is>
      </c>
      <c r="O36" s="6" t="inlineStr">
        <is>
          <t>〇</t>
        </is>
      </c>
      <c r="P36" s="6" t="inlineStr">
        <is>
          <t>〇</t>
        </is>
      </c>
      <c r="Q36" s="6" t="inlineStr">
        <is>
          <t>〇</t>
        </is>
      </c>
      <c r="R36" s="6" t="inlineStr">
        <is>
          <t>〇</t>
        </is>
      </c>
      <c r="S36" s="6" t="inlineStr">
        <is>
          <t>〇</t>
        </is>
      </c>
      <c r="T36" s="6" t="inlineStr">
        <is>
          <t>〇</t>
        </is>
      </c>
      <c r="U36" s="6" t="inlineStr">
        <is>
          <t>〇</t>
        </is>
      </c>
      <c r="V36" s="6" t="inlineStr">
        <is>
          <t>〇</t>
        </is>
      </c>
      <c r="W36" s="6" t="inlineStr">
        <is>
          <t>〇</t>
        </is>
      </c>
      <c r="X36" s="6" t="inlineStr">
        <is>
          <t>〇</t>
        </is>
      </c>
      <c r="Y36" s="6" t="inlineStr">
        <is>
          <t>〇</t>
        </is>
      </c>
      <c r="Z36" s="6" t="inlineStr">
        <is>
          <t>〇</t>
        </is>
      </c>
      <c r="AA36" s="6" t="inlineStr">
        <is>
          <t>〇</t>
        </is>
      </c>
      <c r="AB36" s="6" t="inlineStr">
        <is>
          <t>〇</t>
        </is>
      </c>
      <c r="AC36" s="6" t="inlineStr">
        <is>
          <t>〇</t>
        </is>
      </c>
      <c r="AD36" s="8">
        <f>SUM(COUNTIF(B36:AC36,"○"),COUNTIF(B36:AC36,"〇"),COUNTIF(B36:AC36,"出"),COUNTIF(B36:AC36,"早"),COUNTIF(B36:AC36,"遅"),COUNTIF(B36:AC36,"E"),COUNTIF(B36:AC36,"8時"),COUNTIF(B36:AC36,"ハヤ"),COUNTIF(B36:AC36,"オソ"),COUNTIF(B36:AC36,"イブ"))</f>
        <v>0</v>
      </c>
      <c r="AE36" s="8">
        <f>COUNTIF(B36:AC36,"休")+0.5*(COUNTIF(B36:AC36,"○/休")+COUNTIF(B36:AC36,"〇/休")+COUNTIF(B36:AC36,"休/○")+COUNTIF(B36:AC36,"休/〇"))</f>
        <v>0</v>
      </c>
      <c r="AF36" s="8">
        <f>COUNTIF(B36:AC36,"有")+0.5*(COUNTIF(B36:AC36,"○/有")+COUNTIF(B36:AC36,"〇/有")+COUNTIF(B36:AC36,"有/○")+COUNTIF(B36:AC36,"有/〇"))</f>
        <v>0</v>
      </c>
      <c r="AG36" s="8">
        <f>COUNTIF(B36:AC36,"上1")+COUNTIF(B36:AC36,"上2")+COUNTIF(B36:AC36,"上3")+COUNTIF(B36:AC36,"上4")+COUNTIF(B36:AC36,"上5")+COUNTIF(B36:AC36,"下1")+COUNTIF(B36:AC36,"下2")+COUNTIF(B36:AC36,"下3")</f>
        <v>0</v>
      </c>
      <c r="AH36" s="13">
        <f>COUNTIF(B36:AC36,"早")+COUNTIF(B36:AC36,"ハヤ")</f>
        <v>0</v>
      </c>
      <c r="AI36" s="13">
        <f>COUNTIF(B36:AC36,"遅")+COUNTIF(B36:AC36,"オソ")</f>
        <v>0</v>
      </c>
      <c r="AJ36" s="13">
        <f>COUNTIF(B36:AC36,"E")+COUNTIF(B36:AC36,"イブ")</f>
        <v>0</v>
      </c>
      <c r="AK36" s="13">
        <f>COUNTIF(B36:AC36,"8時")</f>
        <v>0</v>
      </c>
    </row>
    <row r="37" ht="20" customHeight="1">
      <c r="A37" s="5" t="inlineStr">
        <is>
          <t>スタッフ34</t>
        </is>
      </c>
      <c r="B37" s="6" t="inlineStr">
        <is>
          <t>〇</t>
        </is>
      </c>
      <c r="C37" s="6" t="inlineStr">
        <is>
          <t>〇</t>
        </is>
      </c>
      <c r="D37" s="6" t="inlineStr">
        <is>
          <t>〇</t>
        </is>
      </c>
      <c r="E37" s="6" t="inlineStr">
        <is>
          <t>〇</t>
        </is>
      </c>
      <c r="F37" s="6" t="inlineStr">
        <is>
          <t>〇</t>
        </is>
      </c>
      <c r="G37" s="6" t="inlineStr">
        <is>
          <t>〇</t>
        </is>
      </c>
      <c r="H37" s="6" t="inlineStr">
        <is>
          <t>〇</t>
        </is>
      </c>
      <c r="I37" s="6" t="inlineStr">
        <is>
          <t>〇</t>
        </is>
      </c>
      <c r="J37" s="6" t="inlineStr">
        <is>
          <t>〇</t>
        </is>
      </c>
      <c r="K37" s="6" t="inlineStr">
        <is>
          <t>〇</t>
        </is>
      </c>
      <c r="L37" s="6" t="inlineStr">
        <is>
          <t>〇</t>
        </is>
      </c>
      <c r="M37" s="6" t="inlineStr">
        <is>
          <t>〇</t>
        </is>
      </c>
      <c r="N37" s="6" t="inlineStr">
        <is>
          <t>〇</t>
        </is>
      </c>
      <c r="O37" s="6" t="inlineStr">
        <is>
          <t>〇</t>
        </is>
      </c>
      <c r="P37" s="6" t="inlineStr">
        <is>
          <t>〇</t>
        </is>
      </c>
      <c r="Q37" s="6" t="inlineStr">
        <is>
          <t>〇</t>
        </is>
      </c>
      <c r="R37" s="6" t="inlineStr">
        <is>
          <t>〇</t>
        </is>
      </c>
      <c r="S37" s="6" t="inlineStr">
        <is>
          <t>〇</t>
        </is>
      </c>
      <c r="T37" s="6" t="inlineStr">
        <is>
          <t>〇</t>
        </is>
      </c>
      <c r="U37" s="6" t="inlineStr">
        <is>
          <t>〇</t>
        </is>
      </c>
      <c r="V37" s="6" t="inlineStr">
        <is>
          <t>〇</t>
        </is>
      </c>
      <c r="W37" s="6" t="inlineStr">
        <is>
          <t>〇</t>
        </is>
      </c>
      <c r="X37" s="6" t="inlineStr">
        <is>
          <t>〇</t>
        </is>
      </c>
      <c r="Y37" s="6" t="inlineStr">
        <is>
          <t>〇</t>
        </is>
      </c>
      <c r="Z37" s="6" t="inlineStr">
        <is>
          <t>〇</t>
        </is>
      </c>
      <c r="AA37" s="6" t="inlineStr">
        <is>
          <t>〇</t>
        </is>
      </c>
      <c r="AB37" s="6" t="inlineStr">
        <is>
          <t>〇</t>
        </is>
      </c>
      <c r="AC37" s="6" t="inlineStr">
        <is>
          <t>〇</t>
        </is>
      </c>
      <c r="AD37" s="8">
        <f>SUM(COUNTIF(B37:AC37,"○"),COUNTIF(B37:AC37,"〇"),COUNTIF(B37:AC37,"出"),COUNTIF(B37:AC37,"早"),COUNTIF(B37:AC37,"遅"),COUNTIF(B37:AC37,"E"),COUNTIF(B37:AC37,"8時"),COUNTIF(B37:AC37,"ハヤ"),COUNTIF(B37:AC37,"オソ"),COUNTIF(B37:AC37,"イブ"))</f>
        <v>0</v>
      </c>
      <c r="AE37" s="8">
        <f>COUNTIF(B37:AC37,"休")+0.5*(COUNTIF(B37:AC37,"○/休")+COUNTIF(B37:AC37,"〇/休")+COUNTIF(B37:AC37,"休/○")+COUNTIF(B37:AC37,"休/〇"))</f>
        <v>0</v>
      </c>
      <c r="AF37" s="8">
        <f>COUNTIF(B37:AC37,"有")+0.5*(COUNTIF(B37:AC37,"○/有")+COUNTIF(B37:AC37,"〇/有")+COUNTIF(B37:AC37,"有/○")+COUNTIF(B37:AC37,"有/〇"))</f>
        <v>0</v>
      </c>
      <c r="AG37" s="8">
        <f>COUNTIF(B37:AC37,"上1")+COUNTIF(B37:AC37,"上2")+COUNTIF(B37:AC37,"上3")+COUNTIF(B37:AC37,"上4")+COUNTIF(B37:AC37,"上5")+COUNTIF(B37:AC37,"下1")+COUNTIF(B37:AC37,"下2")+COUNTIF(B37:AC37,"下3")</f>
        <v>0</v>
      </c>
      <c r="AH37" s="13">
        <f>COUNTIF(B37:AC37,"早")+COUNTIF(B37:AC37,"ハヤ")</f>
        <v>0</v>
      </c>
      <c r="AI37" s="13">
        <f>COUNTIF(B37:AC37,"遅")+COUNTIF(B37:AC37,"オソ")</f>
        <v>0</v>
      </c>
      <c r="AJ37" s="13">
        <f>COUNTIF(B37:AC37,"E")+COUNTIF(B37:AC37,"イブ")</f>
        <v>0</v>
      </c>
      <c r="AK37" s="13">
        <f>COUNTIF(B37:AC37,"8時")</f>
        <v>0</v>
      </c>
    </row>
    <row r="38" ht="20" customHeight="1">
      <c r="A38" s="5" t="inlineStr">
        <is>
          <t>スタッフ35</t>
        </is>
      </c>
      <c r="B38" s="6" t="inlineStr">
        <is>
          <t>〇</t>
        </is>
      </c>
      <c r="C38" s="6" t="inlineStr">
        <is>
          <t>〇</t>
        </is>
      </c>
      <c r="D38" s="6" t="inlineStr">
        <is>
          <t>〇</t>
        </is>
      </c>
      <c r="E38" s="6" t="inlineStr">
        <is>
          <t>〇</t>
        </is>
      </c>
      <c r="F38" s="6" t="inlineStr">
        <is>
          <t>〇</t>
        </is>
      </c>
      <c r="G38" s="6" t="inlineStr">
        <is>
          <t>〇</t>
        </is>
      </c>
      <c r="H38" s="6" t="inlineStr">
        <is>
          <t>〇</t>
        </is>
      </c>
      <c r="I38" s="6" t="inlineStr">
        <is>
          <t>〇</t>
        </is>
      </c>
      <c r="J38" s="6" t="inlineStr">
        <is>
          <t>〇</t>
        </is>
      </c>
      <c r="K38" s="6" t="inlineStr">
        <is>
          <t>〇</t>
        </is>
      </c>
      <c r="L38" s="6" t="inlineStr">
        <is>
          <t>〇</t>
        </is>
      </c>
      <c r="M38" s="6" t="inlineStr">
        <is>
          <t>〇</t>
        </is>
      </c>
      <c r="N38" s="6" t="inlineStr">
        <is>
          <t>〇</t>
        </is>
      </c>
      <c r="O38" s="6" t="inlineStr">
        <is>
          <t>〇</t>
        </is>
      </c>
      <c r="P38" s="6" t="inlineStr">
        <is>
          <t>〇</t>
        </is>
      </c>
      <c r="Q38" s="6" t="inlineStr">
        <is>
          <t>〇</t>
        </is>
      </c>
      <c r="R38" s="6" t="inlineStr">
        <is>
          <t>〇</t>
        </is>
      </c>
      <c r="S38" s="6" t="inlineStr">
        <is>
          <t>〇</t>
        </is>
      </c>
      <c r="T38" s="6" t="inlineStr">
        <is>
          <t>〇</t>
        </is>
      </c>
      <c r="U38" s="6" t="inlineStr">
        <is>
          <t>〇</t>
        </is>
      </c>
      <c r="V38" s="6" t="inlineStr">
        <is>
          <t>〇</t>
        </is>
      </c>
      <c r="W38" s="6" t="inlineStr">
        <is>
          <t>〇</t>
        </is>
      </c>
      <c r="X38" s="6" t="inlineStr">
        <is>
          <t>〇</t>
        </is>
      </c>
      <c r="Y38" s="6" t="inlineStr">
        <is>
          <t>〇</t>
        </is>
      </c>
      <c r="Z38" s="6" t="inlineStr">
        <is>
          <t>〇</t>
        </is>
      </c>
      <c r="AA38" s="6" t="inlineStr">
        <is>
          <t>〇</t>
        </is>
      </c>
      <c r="AB38" s="6" t="inlineStr">
        <is>
          <t>〇</t>
        </is>
      </c>
      <c r="AC38" s="6" t="inlineStr">
        <is>
          <t>〇</t>
        </is>
      </c>
      <c r="AD38" s="8">
        <f>SUM(COUNTIF(B38:AC38,"○"),COUNTIF(B38:AC38,"〇"),COUNTIF(B38:AC38,"出"),COUNTIF(B38:AC38,"早"),COUNTIF(B38:AC38,"遅"),COUNTIF(B38:AC38,"E"),COUNTIF(B38:AC38,"8時"),COUNTIF(B38:AC38,"ハヤ"),COUNTIF(B38:AC38,"オソ"),COUNTIF(B38:AC38,"イブ"))</f>
        <v>0</v>
      </c>
      <c r="AE38" s="8">
        <f>COUNTIF(B38:AC38,"休")+0.5*(COUNTIF(B38:AC38,"○/休")+COUNTIF(B38:AC38,"〇/休")+COUNTIF(B38:AC38,"休/○")+COUNTIF(B38:AC38,"休/〇"))</f>
        <v>0</v>
      </c>
      <c r="AF38" s="8">
        <f>COUNTIF(B38:AC38,"有")+0.5*(COUNTIF(B38:AC38,"○/有")+COUNTIF(B38:AC38,"〇/有")+COUNTIF(B38:AC38,"有/○")+COUNTIF(B38:AC38,"有/〇"))</f>
        <v>0</v>
      </c>
      <c r="AG38" s="8">
        <f>COUNTIF(B38:AC38,"上1")+COUNTIF(B38:AC38,"上2")+COUNTIF(B38:AC38,"上3")+COUNTIF(B38:AC38,"上4")+COUNTIF(B38:AC38,"上5")+COUNTIF(B38:AC38,"下1")+COUNTIF(B38:AC38,"下2")+COUNTIF(B38:AC38,"下3")</f>
        <v>0</v>
      </c>
      <c r="AH38" s="13">
        <f>COUNTIF(B38:AC38,"早")+COUNTIF(B38:AC38,"ハヤ")</f>
        <v>0</v>
      </c>
      <c r="AI38" s="13">
        <f>COUNTIF(B38:AC38,"遅")+COUNTIF(B38:AC38,"オソ")</f>
        <v>0</v>
      </c>
      <c r="AJ38" s="13">
        <f>COUNTIF(B38:AC38,"E")+COUNTIF(B38:AC38,"イブ")</f>
        <v>0</v>
      </c>
      <c r="AK38" s="13">
        <f>COUNTIF(B38:AC38,"8時")</f>
        <v>0</v>
      </c>
    </row>
    <row r="39" ht="20" customHeight="1">
      <c r="A39" s="5" t="inlineStr">
        <is>
          <t>スタッフ36</t>
        </is>
      </c>
      <c r="B39" s="6" t="inlineStr">
        <is>
          <t>〇</t>
        </is>
      </c>
      <c r="C39" s="6" t="inlineStr">
        <is>
          <t>〇</t>
        </is>
      </c>
      <c r="D39" s="6" t="inlineStr">
        <is>
          <t>〇</t>
        </is>
      </c>
      <c r="E39" s="6" t="inlineStr">
        <is>
          <t>〇</t>
        </is>
      </c>
      <c r="F39" s="6" t="inlineStr">
        <is>
          <t>〇</t>
        </is>
      </c>
      <c r="G39" s="6" t="inlineStr">
        <is>
          <t>〇</t>
        </is>
      </c>
      <c r="H39" s="6" t="inlineStr">
        <is>
          <t>〇</t>
        </is>
      </c>
      <c r="I39" s="6" t="inlineStr">
        <is>
          <t>〇</t>
        </is>
      </c>
      <c r="J39" s="6" t="inlineStr">
        <is>
          <t>〇</t>
        </is>
      </c>
      <c r="K39" s="6" t="inlineStr">
        <is>
          <t>〇</t>
        </is>
      </c>
      <c r="L39" s="6" t="inlineStr">
        <is>
          <t>〇</t>
        </is>
      </c>
      <c r="M39" s="6" t="inlineStr">
        <is>
          <t>〇</t>
        </is>
      </c>
      <c r="N39" s="6" t="inlineStr">
        <is>
          <t>〇</t>
        </is>
      </c>
      <c r="O39" s="6" t="inlineStr">
        <is>
          <t>〇</t>
        </is>
      </c>
      <c r="P39" s="6" t="inlineStr">
        <is>
          <t>〇</t>
        </is>
      </c>
      <c r="Q39" s="6" t="inlineStr">
        <is>
          <t>〇</t>
        </is>
      </c>
      <c r="R39" s="6" t="inlineStr">
        <is>
          <t>〇</t>
        </is>
      </c>
      <c r="S39" s="6" t="inlineStr">
        <is>
          <t>〇</t>
        </is>
      </c>
      <c r="T39" s="6" t="inlineStr">
        <is>
          <t>〇</t>
        </is>
      </c>
      <c r="U39" s="6" t="inlineStr">
        <is>
          <t>〇</t>
        </is>
      </c>
      <c r="V39" s="6" t="inlineStr">
        <is>
          <t>〇</t>
        </is>
      </c>
      <c r="W39" s="6" t="inlineStr">
        <is>
          <t>〇</t>
        </is>
      </c>
      <c r="X39" s="6" t="inlineStr">
        <is>
          <t>〇</t>
        </is>
      </c>
      <c r="Y39" s="6" t="inlineStr">
        <is>
          <t>〇</t>
        </is>
      </c>
      <c r="Z39" s="6" t="inlineStr">
        <is>
          <t>〇</t>
        </is>
      </c>
      <c r="AA39" s="6" t="inlineStr">
        <is>
          <t>〇</t>
        </is>
      </c>
      <c r="AB39" s="6" t="inlineStr">
        <is>
          <t>〇</t>
        </is>
      </c>
      <c r="AC39" s="6" t="inlineStr">
        <is>
          <t>〇</t>
        </is>
      </c>
      <c r="AD39" s="8">
        <f>SUM(COUNTIF(B39:AC39,"○"),COUNTIF(B39:AC39,"〇"),COUNTIF(B39:AC39,"出"),COUNTIF(B39:AC39,"早"),COUNTIF(B39:AC39,"遅"),COUNTIF(B39:AC39,"E"),COUNTIF(B39:AC39,"8時"),COUNTIF(B39:AC39,"ハヤ"),COUNTIF(B39:AC39,"オソ"),COUNTIF(B39:AC39,"イブ"))</f>
        <v>0</v>
      </c>
      <c r="AE39" s="8">
        <f>COUNTIF(B39:AC39,"休")+0.5*(COUNTIF(B39:AC39,"○/休")+COUNTIF(B39:AC39,"〇/休")+COUNTIF(B39:AC39,"休/○")+COUNTIF(B39:AC39,"休/〇"))</f>
        <v>0</v>
      </c>
      <c r="AF39" s="8">
        <f>COUNTIF(B39:AC39,"有")+0.5*(COUNTIF(B39:AC39,"○/有")+COUNTIF(B39:AC39,"〇/有")+COUNTIF(B39:AC39,"有/○")+COUNTIF(B39:AC39,"有/〇"))</f>
        <v>0</v>
      </c>
      <c r="AG39" s="8">
        <f>COUNTIF(B39:AC39,"上1")+COUNTIF(B39:AC39,"上2")+COUNTIF(B39:AC39,"上3")+COUNTIF(B39:AC39,"上4")+COUNTIF(B39:AC39,"上5")+COUNTIF(B39:AC39,"下1")+COUNTIF(B39:AC39,"下2")+COUNTIF(B39:AC39,"下3")</f>
        <v>0</v>
      </c>
      <c r="AH39" s="13">
        <f>COUNTIF(B39:AC39,"早")+COUNTIF(B39:AC39,"ハヤ")</f>
        <v>0</v>
      </c>
      <c r="AI39" s="13">
        <f>COUNTIF(B39:AC39,"遅")+COUNTIF(B39:AC39,"オソ")</f>
        <v>0</v>
      </c>
      <c r="AJ39" s="13">
        <f>COUNTIF(B39:AC39,"E")+COUNTIF(B39:AC39,"イブ")</f>
        <v>0</v>
      </c>
      <c r="AK39" s="13">
        <f>COUNTIF(B39:AC39,"8時")</f>
        <v>0</v>
      </c>
    </row>
    <row r="40" ht="20" customHeight="1">
      <c r="A40" s="5" t="inlineStr">
        <is>
          <t>スタッフ37</t>
        </is>
      </c>
      <c r="B40" s="6" t="inlineStr">
        <is>
          <t>〇</t>
        </is>
      </c>
      <c r="C40" s="6" t="inlineStr">
        <is>
          <t>〇</t>
        </is>
      </c>
      <c r="D40" s="6" t="inlineStr">
        <is>
          <t>〇</t>
        </is>
      </c>
      <c r="E40" s="6" t="inlineStr">
        <is>
          <t>〇</t>
        </is>
      </c>
      <c r="F40" s="6" t="inlineStr">
        <is>
          <t>〇</t>
        </is>
      </c>
      <c r="G40" s="6" t="inlineStr">
        <is>
          <t>〇</t>
        </is>
      </c>
      <c r="H40" s="6" t="inlineStr">
        <is>
          <t>〇</t>
        </is>
      </c>
      <c r="I40" s="6" t="inlineStr">
        <is>
          <t>〇</t>
        </is>
      </c>
      <c r="J40" s="6" t="inlineStr">
        <is>
          <t>〇</t>
        </is>
      </c>
      <c r="K40" s="6" t="inlineStr">
        <is>
          <t>〇</t>
        </is>
      </c>
      <c r="L40" s="6" t="inlineStr">
        <is>
          <t>〇</t>
        </is>
      </c>
      <c r="M40" s="6" t="inlineStr">
        <is>
          <t>〇</t>
        </is>
      </c>
      <c r="N40" s="6" t="inlineStr">
        <is>
          <t>〇</t>
        </is>
      </c>
      <c r="O40" s="6" t="inlineStr">
        <is>
          <t>〇</t>
        </is>
      </c>
      <c r="P40" s="6" t="inlineStr">
        <is>
          <t>〇</t>
        </is>
      </c>
      <c r="Q40" s="6" t="inlineStr">
        <is>
          <t>〇</t>
        </is>
      </c>
      <c r="R40" s="6" t="inlineStr">
        <is>
          <t>〇</t>
        </is>
      </c>
      <c r="S40" s="6" t="inlineStr">
        <is>
          <t>〇</t>
        </is>
      </c>
      <c r="T40" s="6" t="inlineStr">
        <is>
          <t>〇</t>
        </is>
      </c>
      <c r="U40" s="6" t="inlineStr">
        <is>
          <t>〇</t>
        </is>
      </c>
      <c r="V40" s="6" t="inlineStr">
        <is>
          <t>〇</t>
        </is>
      </c>
      <c r="W40" s="6" t="inlineStr">
        <is>
          <t>〇</t>
        </is>
      </c>
      <c r="X40" s="6" t="inlineStr">
        <is>
          <t>〇</t>
        </is>
      </c>
      <c r="Y40" s="6" t="inlineStr">
        <is>
          <t>〇</t>
        </is>
      </c>
      <c r="Z40" s="6" t="inlineStr">
        <is>
          <t>〇</t>
        </is>
      </c>
      <c r="AA40" s="6" t="inlineStr">
        <is>
          <t>〇</t>
        </is>
      </c>
      <c r="AB40" s="6" t="inlineStr">
        <is>
          <t>〇</t>
        </is>
      </c>
      <c r="AC40" s="6" t="inlineStr">
        <is>
          <t>〇</t>
        </is>
      </c>
      <c r="AD40" s="8">
        <f>SUM(COUNTIF(B40:AC40,"○"),COUNTIF(B40:AC40,"〇"),COUNTIF(B40:AC40,"出"),COUNTIF(B40:AC40,"早"),COUNTIF(B40:AC40,"遅"),COUNTIF(B40:AC40,"E"),COUNTIF(B40:AC40,"8時"),COUNTIF(B40:AC40,"ハヤ"),COUNTIF(B40:AC40,"オソ"),COUNTIF(B40:AC40,"イブ"))</f>
        <v>0</v>
      </c>
      <c r="AE40" s="8">
        <f>COUNTIF(B40:AC40,"休")+0.5*(COUNTIF(B40:AC40,"○/休")+COUNTIF(B40:AC40,"〇/休")+COUNTIF(B40:AC40,"休/○")+COUNTIF(B40:AC40,"休/〇"))</f>
        <v>0</v>
      </c>
      <c r="AF40" s="8">
        <f>COUNTIF(B40:AC40,"有")+0.5*(COUNTIF(B40:AC40,"○/有")+COUNTIF(B40:AC40,"〇/有")+COUNTIF(B40:AC40,"有/○")+COUNTIF(B40:AC40,"有/〇"))</f>
        <v>0</v>
      </c>
      <c r="AG40" s="8">
        <f>COUNTIF(B40:AC40,"上1")+COUNTIF(B40:AC40,"上2")+COUNTIF(B40:AC40,"上3")+COUNTIF(B40:AC40,"上4")+COUNTIF(B40:AC40,"上5")+COUNTIF(B40:AC40,"下1")+COUNTIF(B40:AC40,"下2")+COUNTIF(B40:AC40,"下3")</f>
        <v>0</v>
      </c>
      <c r="AH40" s="13">
        <f>COUNTIF(B40:AC40,"早")+COUNTIF(B40:AC40,"ハヤ")</f>
        <v>0</v>
      </c>
      <c r="AI40" s="13">
        <f>COUNTIF(B40:AC40,"遅")+COUNTIF(B40:AC40,"オソ")</f>
        <v>0</v>
      </c>
      <c r="AJ40" s="13">
        <f>COUNTIF(B40:AC40,"E")+COUNTIF(B40:AC40,"イブ")</f>
        <v>0</v>
      </c>
      <c r="AK40" s="13">
        <f>COUNTIF(B40:AC40,"8時")</f>
        <v>0</v>
      </c>
    </row>
    <row r="41" ht="20" customHeight="1">
      <c r="A41" s="5" t="inlineStr">
        <is>
          <t>スタッフ38</t>
        </is>
      </c>
      <c r="B41" s="6" t="inlineStr">
        <is>
          <t>〇</t>
        </is>
      </c>
      <c r="C41" s="6" t="inlineStr">
        <is>
          <t>〇</t>
        </is>
      </c>
      <c r="D41" s="6" t="inlineStr">
        <is>
          <t>〇</t>
        </is>
      </c>
      <c r="E41" s="6" t="inlineStr">
        <is>
          <t>〇</t>
        </is>
      </c>
      <c r="F41" s="6" t="inlineStr">
        <is>
          <t>〇</t>
        </is>
      </c>
      <c r="G41" s="6" t="inlineStr">
        <is>
          <t>〇</t>
        </is>
      </c>
      <c r="H41" s="6" t="inlineStr">
        <is>
          <t>〇</t>
        </is>
      </c>
      <c r="I41" s="6" t="inlineStr">
        <is>
          <t>〇</t>
        </is>
      </c>
      <c r="J41" s="6" t="inlineStr">
        <is>
          <t>〇</t>
        </is>
      </c>
      <c r="K41" s="6" t="inlineStr">
        <is>
          <t>〇</t>
        </is>
      </c>
      <c r="L41" s="6" t="inlineStr">
        <is>
          <t>〇</t>
        </is>
      </c>
      <c r="M41" s="6" t="inlineStr">
        <is>
          <t>〇</t>
        </is>
      </c>
      <c r="N41" s="6" t="inlineStr">
        <is>
          <t>〇</t>
        </is>
      </c>
      <c r="O41" s="6" t="inlineStr">
        <is>
          <t>〇</t>
        </is>
      </c>
      <c r="P41" s="6" t="inlineStr">
        <is>
          <t>〇</t>
        </is>
      </c>
      <c r="Q41" s="6" t="inlineStr">
        <is>
          <t>〇</t>
        </is>
      </c>
      <c r="R41" s="6" t="inlineStr">
        <is>
          <t>〇</t>
        </is>
      </c>
      <c r="S41" s="6" t="inlineStr">
        <is>
          <t>〇</t>
        </is>
      </c>
      <c r="T41" s="6" t="inlineStr">
        <is>
          <t>〇</t>
        </is>
      </c>
      <c r="U41" s="6" t="inlineStr">
        <is>
          <t>〇</t>
        </is>
      </c>
      <c r="V41" s="6" t="inlineStr">
        <is>
          <t>〇</t>
        </is>
      </c>
      <c r="W41" s="6" t="inlineStr">
        <is>
          <t>〇</t>
        </is>
      </c>
      <c r="X41" s="6" t="inlineStr">
        <is>
          <t>〇</t>
        </is>
      </c>
      <c r="Y41" s="6" t="inlineStr">
        <is>
          <t>〇</t>
        </is>
      </c>
      <c r="Z41" s="6" t="inlineStr">
        <is>
          <t>〇</t>
        </is>
      </c>
      <c r="AA41" s="6" t="inlineStr">
        <is>
          <t>〇</t>
        </is>
      </c>
      <c r="AB41" s="6" t="inlineStr">
        <is>
          <t>〇</t>
        </is>
      </c>
      <c r="AC41" s="6" t="inlineStr">
        <is>
          <t>〇</t>
        </is>
      </c>
      <c r="AD41" s="8">
        <f>SUM(COUNTIF(B41:AC41,"○"),COUNTIF(B41:AC41,"〇"),COUNTIF(B41:AC41,"出"),COUNTIF(B41:AC41,"早"),COUNTIF(B41:AC41,"遅"),COUNTIF(B41:AC41,"E"),COUNTIF(B41:AC41,"8時"),COUNTIF(B41:AC41,"ハヤ"),COUNTIF(B41:AC41,"オソ"),COUNTIF(B41:AC41,"イブ"))</f>
        <v>0</v>
      </c>
      <c r="AE41" s="8">
        <f>COUNTIF(B41:AC41,"休")+0.5*(COUNTIF(B41:AC41,"○/休")+COUNTIF(B41:AC41,"〇/休")+COUNTIF(B41:AC41,"休/○")+COUNTIF(B41:AC41,"休/〇"))</f>
        <v>0</v>
      </c>
      <c r="AF41" s="8">
        <f>COUNTIF(B41:AC41,"有")+0.5*(COUNTIF(B41:AC41,"○/有")+COUNTIF(B41:AC41,"〇/有")+COUNTIF(B41:AC41,"有/○")+COUNTIF(B41:AC41,"有/〇"))</f>
        <v>0</v>
      </c>
      <c r="AG41" s="8">
        <f>COUNTIF(B41:AC41,"上1")+COUNTIF(B41:AC41,"上2")+COUNTIF(B41:AC41,"上3")+COUNTIF(B41:AC41,"上4")+COUNTIF(B41:AC41,"上5")+COUNTIF(B41:AC41,"下1")+COUNTIF(B41:AC41,"下2")+COUNTIF(B41:AC41,"下3")</f>
        <v>0</v>
      </c>
      <c r="AH41" s="13">
        <f>COUNTIF(B41:AC41,"早")+COUNTIF(B41:AC41,"ハヤ")</f>
        <v>0</v>
      </c>
      <c r="AI41" s="13">
        <f>COUNTIF(B41:AC41,"遅")+COUNTIF(B41:AC41,"オソ")</f>
        <v>0</v>
      </c>
      <c r="AJ41" s="13">
        <f>COUNTIF(B41:AC41,"E")+COUNTIF(B41:AC41,"イブ")</f>
        <v>0</v>
      </c>
      <c r="AK41" s="13">
        <f>COUNTIF(B41:AC41,"8時")</f>
        <v>0</v>
      </c>
    </row>
    <row r="42" ht="20" customHeight="1">
      <c r="A42" s="5" t="inlineStr">
        <is>
          <t>スタッフ39</t>
        </is>
      </c>
      <c r="B42" s="6" t="inlineStr">
        <is>
          <t>〇</t>
        </is>
      </c>
      <c r="C42" s="6" t="inlineStr">
        <is>
          <t>〇</t>
        </is>
      </c>
      <c r="D42" s="6" t="inlineStr">
        <is>
          <t>〇</t>
        </is>
      </c>
      <c r="E42" s="6" t="inlineStr">
        <is>
          <t>〇</t>
        </is>
      </c>
      <c r="F42" s="6" t="inlineStr">
        <is>
          <t>〇</t>
        </is>
      </c>
      <c r="G42" s="6" t="inlineStr">
        <is>
          <t>〇</t>
        </is>
      </c>
      <c r="H42" s="6" t="inlineStr">
        <is>
          <t>〇</t>
        </is>
      </c>
      <c r="I42" s="6" t="inlineStr">
        <is>
          <t>〇</t>
        </is>
      </c>
      <c r="J42" s="6" t="inlineStr">
        <is>
          <t>〇</t>
        </is>
      </c>
      <c r="K42" s="6" t="inlineStr">
        <is>
          <t>〇</t>
        </is>
      </c>
      <c r="L42" s="6" t="inlineStr">
        <is>
          <t>〇</t>
        </is>
      </c>
      <c r="M42" s="6" t="inlineStr">
        <is>
          <t>〇</t>
        </is>
      </c>
      <c r="N42" s="6" t="inlineStr">
        <is>
          <t>〇</t>
        </is>
      </c>
      <c r="O42" s="6" t="inlineStr">
        <is>
          <t>〇</t>
        </is>
      </c>
      <c r="P42" s="6" t="inlineStr">
        <is>
          <t>〇</t>
        </is>
      </c>
      <c r="Q42" s="6" t="inlineStr">
        <is>
          <t>〇</t>
        </is>
      </c>
      <c r="R42" s="6" t="inlineStr">
        <is>
          <t>〇</t>
        </is>
      </c>
      <c r="S42" s="6" t="inlineStr">
        <is>
          <t>〇</t>
        </is>
      </c>
      <c r="T42" s="6" t="inlineStr">
        <is>
          <t>〇</t>
        </is>
      </c>
      <c r="U42" s="6" t="inlineStr">
        <is>
          <t>〇</t>
        </is>
      </c>
      <c r="V42" s="6" t="inlineStr">
        <is>
          <t>〇</t>
        </is>
      </c>
      <c r="W42" s="6" t="inlineStr">
        <is>
          <t>〇</t>
        </is>
      </c>
      <c r="X42" s="6" t="inlineStr">
        <is>
          <t>〇</t>
        </is>
      </c>
      <c r="Y42" s="6" t="inlineStr">
        <is>
          <t>〇</t>
        </is>
      </c>
      <c r="Z42" s="6" t="inlineStr">
        <is>
          <t>〇</t>
        </is>
      </c>
      <c r="AA42" s="6" t="inlineStr">
        <is>
          <t>〇</t>
        </is>
      </c>
      <c r="AB42" s="6" t="inlineStr">
        <is>
          <t>〇</t>
        </is>
      </c>
      <c r="AC42" s="6" t="inlineStr">
        <is>
          <t>〇</t>
        </is>
      </c>
      <c r="AD42" s="8">
        <f>SUM(COUNTIF(B42:AC42,"○"),COUNTIF(B42:AC42,"〇"),COUNTIF(B42:AC42,"出"),COUNTIF(B42:AC42,"早"),COUNTIF(B42:AC42,"遅"),COUNTIF(B42:AC42,"E"),COUNTIF(B42:AC42,"8時"),COUNTIF(B42:AC42,"ハヤ"),COUNTIF(B42:AC42,"オソ"),COUNTIF(B42:AC42,"イブ"))</f>
        <v>0</v>
      </c>
      <c r="AE42" s="8">
        <f>COUNTIF(B42:AC42,"休")+0.5*(COUNTIF(B42:AC42,"○/休")+COUNTIF(B42:AC42,"〇/休")+COUNTIF(B42:AC42,"休/○")+COUNTIF(B42:AC42,"休/〇"))</f>
        <v>0</v>
      </c>
      <c r="AF42" s="8">
        <f>COUNTIF(B42:AC42,"有")+0.5*(COUNTIF(B42:AC42,"○/有")+COUNTIF(B42:AC42,"〇/有")+COUNTIF(B42:AC42,"有/○")+COUNTIF(B42:AC42,"有/〇"))</f>
        <v>0</v>
      </c>
      <c r="AG42" s="8">
        <f>COUNTIF(B42:AC42,"上1")+COUNTIF(B42:AC42,"上2")+COUNTIF(B42:AC42,"上3")+COUNTIF(B42:AC42,"上4")+COUNTIF(B42:AC42,"上5")+COUNTIF(B42:AC42,"下1")+COUNTIF(B42:AC42,"下2")+COUNTIF(B42:AC42,"下3")</f>
        <v>0</v>
      </c>
      <c r="AH42" s="13">
        <f>COUNTIF(B42:AC42,"早")+COUNTIF(B42:AC42,"ハヤ")</f>
        <v>0</v>
      </c>
      <c r="AI42" s="13">
        <f>COUNTIF(B42:AC42,"遅")+COUNTIF(B42:AC42,"オソ")</f>
        <v>0</v>
      </c>
      <c r="AJ42" s="13">
        <f>COUNTIF(B42:AC42,"E")+COUNTIF(B42:AC42,"イブ")</f>
        <v>0</v>
      </c>
      <c r="AK42" s="13">
        <f>COUNTIF(B42:AC42,"8時")</f>
        <v>0</v>
      </c>
    </row>
    <row r="43" ht="20" customHeight="1">
      <c r="A43" s="5" t="inlineStr">
        <is>
          <t>スタッフ40</t>
        </is>
      </c>
      <c r="B43" s="6" t="inlineStr">
        <is>
          <t>〇</t>
        </is>
      </c>
      <c r="C43" s="6" t="inlineStr">
        <is>
          <t>〇</t>
        </is>
      </c>
      <c r="D43" s="6" t="inlineStr">
        <is>
          <t>〇</t>
        </is>
      </c>
      <c r="E43" s="6" t="inlineStr">
        <is>
          <t>〇</t>
        </is>
      </c>
      <c r="F43" s="6" t="inlineStr">
        <is>
          <t>〇</t>
        </is>
      </c>
      <c r="G43" s="6" t="inlineStr">
        <is>
          <t>〇</t>
        </is>
      </c>
      <c r="H43" s="6" t="inlineStr">
        <is>
          <t>〇</t>
        </is>
      </c>
      <c r="I43" s="6" t="inlineStr">
        <is>
          <t>〇</t>
        </is>
      </c>
      <c r="J43" s="6" t="inlineStr">
        <is>
          <t>〇</t>
        </is>
      </c>
      <c r="K43" s="6" t="inlineStr">
        <is>
          <t>〇</t>
        </is>
      </c>
      <c r="L43" s="6" t="inlineStr">
        <is>
          <t>〇</t>
        </is>
      </c>
      <c r="M43" s="6" t="inlineStr">
        <is>
          <t>〇</t>
        </is>
      </c>
      <c r="N43" s="6" t="inlineStr">
        <is>
          <t>〇</t>
        </is>
      </c>
      <c r="O43" s="6" t="inlineStr">
        <is>
          <t>〇</t>
        </is>
      </c>
      <c r="P43" s="6" t="inlineStr">
        <is>
          <t>〇</t>
        </is>
      </c>
      <c r="Q43" s="6" t="inlineStr">
        <is>
          <t>〇</t>
        </is>
      </c>
      <c r="R43" s="6" t="inlineStr">
        <is>
          <t>〇</t>
        </is>
      </c>
      <c r="S43" s="6" t="inlineStr">
        <is>
          <t>〇</t>
        </is>
      </c>
      <c r="T43" s="6" t="inlineStr">
        <is>
          <t>〇</t>
        </is>
      </c>
      <c r="U43" s="6" t="inlineStr">
        <is>
          <t>〇</t>
        </is>
      </c>
      <c r="V43" s="6" t="inlineStr">
        <is>
          <t>〇</t>
        </is>
      </c>
      <c r="W43" s="6" t="inlineStr">
        <is>
          <t>〇</t>
        </is>
      </c>
      <c r="X43" s="6" t="inlineStr">
        <is>
          <t>〇</t>
        </is>
      </c>
      <c r="Y43" s="6" t="inlineStr">
        <is>
          <t>〇</t>
        </is>
      </c>
      <c r="Z43" s="6" t="inlineStr">
        <is>
          <t>〇</t>
        </is>
      </c>
      <c r="AA43" s="6" t="inlineStr">
        <is>
          <t>〇</t>
        </is>
      </c>
      <c r="AB43" s="6" t="inlineStr">
        <is>
          <t>〇</t>
        </is>
      </c>
      <c r="AC43" s="6" t="inlineStr">
        <is>
          <t>〇</t>
        </is>
      </c>
      <c r="AD43" s="8">
        <f>SUM(COUNTIF(B43:AC43,"○"),COUNTIF(B43:AC43,"〇"),COUNTIF(B43:AC43,"出"),COUNTIF(B43:AC43,"早"),COUNTIF(B43:AC43,"遅"),COUNTIF(B43:AC43,"E"),COUNTIF(B43:AC43,"8時"),COUNTIF(B43:AC43,"ハヤ"),COUNTIF(B43:AC43,"オソ"),COUNTIF(B43:AC43,"イブ"))</f>
        <v>0</v>
      </c>
      <c r="AE43" s="8">
        <f>COUNTIF(B43:AC43,"休")+0.5*(COUNTIF(B43:AC43,"○/休")+COUNTIF(B43:AC43,"〇/休")+COUNTIF(B43:AC43,"休/○")+COUNTIF(B43:AC43,"休/〇"))</f>
        <v>0</v>
      </c>
      <c r="AF43" s="8">
        <f>COUNTIF(B43:AC43,"有")+0.5*(COUNTIF(B43:AC43,"○/有")+COUNTIF(B43:AC43,"〇/有")+COUNTIF(B43:AC43,"有/○")+COUNTIF(B43:AC43,"有/〇"))</f>
        <v>0</v>
      </c>
      <c r="AG43" s="8">
        <f>COUNTIF(B43:AC43,"上1")+COUNTIF(B43:AC43,"上2")+COUNTIF(B43:AC43,"上3")+COUNTIF(B43:AC43,"上4")+COUNTIF(B43:AC43,"上5")+COUNTIF(B43:AC43,"下1")+COUNTIF(B43:AC43,"下2")+COUNTIF(B43:AC43,"下3")</f>
        <v>0</v>
      </c>
      <c r="AH43" s="13">
        <f>COUNTIF(B43:AC43,"早")+COUNTIF(B43:AC43,"ハヤ")</f>
        <v>0</v>
      </c>
      <c r="AI43" s="13">
        <f>COUNTIF(B43:AC43,"遅")+COUNTIF(B43:AC43,"オソ")</f>
        <v>0</v>
      </c>
      <c r="AJ43" s="13">
        <f>COUNTIF(B43:AC43,"E")+COUNTIF(B43:AC43,"イブ")</f>
        <v>0</v>
      </c>
      <c r="AK43" s="13">
        <f>COUNTIF(B43:AC43,"8時")</f>
        <v>0</v>
      </c>
    </row>
    <row r="44" ht="20" customHeight="1">
      <c r="A44" s="5" t="inlineStr">
        <is>
          <t>スタッフ41</t>
        </is>
      </c>
      <c r="B44" s="6" t="inlineStr">
        <is>
          <t>〇</t>
        </is>
      </c>
      <c r="C44" s="6" t="inlineStr">
        <is>
          <t>〇</t>
        </is>
      </c>
      <c r="D44" s="6" t="inlineStr">
        <is>
          <t>〇</t>
        </is>
      </c>
      <c r="E44" s="6" t="inlineStr">
        <is>
          <t>〇</t>
        </is>
      </c>
      <c r="F44" s="6" t="inlineStr">
        <is>
          <t>〇</t>
        </is>
      </c>
      <c r="G44" s="6" t="inlineStr">
        <is>
          <t>〇</t>
        </is>
      </c>
      <c r="H44" s="6" t="inlineStr">
        <is>
          <t>〇</t>
        </is>
      </c>
      <c r="I44" s="6" t="inlineStr">
        <is>
          <t>〇</t>
        </is>
      </c>
      <c r="J44" s="6" t="inlineStr">
        <is>
          <t>〇</t>
        </is>
      </c>
      <c r="K44" s="6" t="inlineStr">
        <is>
          <t>〇</t>
        </is>
      </c>
      <c r="L44" s="6" t="inlineStr">
        <is>
          <t>〇</t>
        </is>
      </c>
      <c r="M44" s="6" t="inlineStr">
        <is>
          <t>〇</t>
        </is>
      </c>
      <c r="N44" s="6" t="inlineStr">
        <is>
          <t>〇</t>
        </is>
      </c>
      <c r="O44" s="6" t="inlineStr">
        <is>
          <t>〇</t>
        </is>
      </c>
      <c r="P44" s="6" t="inlineStr">
        <is>
          <t>〇</t>
        </is>
      </c>
      <c r="Q44" s="6" t="inlineStr">
        <is>
          <t>〇</t>
        </is>
      </c>
      <c r="R44" s="6" t="inlineStr">
        <is>
          <t>〇</t>
        </is>
      </c>
      <c r="S44" s="6" t="inlineStr">
        <is>
          <t>〇</t>
        </is>
      </c>
      <c r="T44" s="6" t="inlineStr">
        <is>
          <t>〇</t>
        </is>
      </c>
      <c r="U44" s="6" t="inlineStr">
        <is>
          <t>〇</t>
        </is>
      </c>
      <c r="V44" s="6" t="inlineStr">
        <is>
          <t>〇</t>
        </is>
      </c>
      <c r="W44" s="6" t="inlineStr">
        <is>
          <t>〇</t>
        </is>
      </c>
      <c r="X44" s="6" t="inlineStr">
        <is>
          <t>〇</t>
        </is>
      </c>
      <c r="Y44" s="6" t="inlineStr">
        <is>
          <t>〇</t>
        </is>
      </c>
      <c r="Z44" s="6" t="inlineStr">
        <is>
          <t>〇</t>
        </is>
      </c>
      <c r="AA44" s="6" t="inlineStr">
        <is>
          <t>〇</t>
        </is>
      </c>
      <c r="AB44" s="6" t="inlineStr">
        <is>
          <t>〇</t>
        </is>
      </c>
      <c r="AC44" s="6" t="inlineStr">
        <is>
          <t>〇</t>
        </is>
      </c>
      <c r="AD44" s="8">
        <f>SUM(COUNTIF(B44:AC44,"○"),COUNTIF(B44:AC44,"〇"),COUNTIF(B44:AC44,"出"),COUNTIF(B44:AC44,"早"),COUNTIF(B44:AC44,"遅"),COUNTIF(B44:AC44,"E"),COUNTIF(B44:AC44,"8時"),COUNTIF(B44:AC44,"ハヤ"),COUNTIF(B44:AC44,"オソ"),COUNTIF(B44:AC44,"イブ"))</f>
        <v>0</v>
      </c>
      <c r="AE44" s="8">
        <f>COUNTIF(B44:AC44,"休")+0.5*(COUNTIF(B44:AC44,"○/休")+COUNTIF(B44:AC44,"〇/休")+COUNTIF(B44:AC44,"休/○")+COUNTIF(B44:AC44,"休/〇"))</f>
        <v>0</v>
      </c>
      <c r="AF44" s="8">
        <f>COUNTIF(B44:AC44,"有")+0.5*(COUNTIF(B44:AC44,"○/有")+COUNTIF(B44:AC44,"〇/有")+COUNTIF(B44:AC44,"有/○")+COUNTIF(B44:AC44,"有/〇"))</f>
        <v>0</v>
      </c>
      <c r="AG44" s="8">
        <f>COUNTIF(B44:AC44,"上1")+COUNTIF(B44:AC44,"上2")+COUNTIF(B44:AC44,"上3")+COUNTIF(B44:AC44,"上4")+COUNTIF(B44:AC44,"上5")+COUNTIF(B44:AC44,"下1")+COUNTIF(B44:AC44,"下2")+COUNTIF(B44:AC44,"下3")</f>
        <v>0</v>
      </c>
      <c r="AH44" s="13">
        <f>COUNTIF(B44:AC44,"早")+COUNTIF(B44:AC44,"ハヤ")</f>
        <v>0</v>
      </c>
      <c r="AI44" s="13">
        <f>COUNTIF(B44:AC44,"遅")+COUNTIF(B44:AC44,"オソ")</f>
        <v>0</v>
      </c>
      <c r="AJ44" s="13">
        <f>COUNTIF(B44:AC44,"E")+COUNTIF(B44:AC44,"イブ")</f>
        <v>0</v>
      </c>
      <c r="AK44" s="13">
        <f>COUNTIF(B44:AC44,"8時")</f>
        <v>0</v>
      </c>
    </row>
    <row r="45" ht="20" customHeight="1">
      <c r="A45" s="5" t="inlineStr">
        <is>
          <t>スタッフ42</t>
        </is>
      </c>
      <c r="B45" s="6" t="inlineStr">
        <is>
          <t>〇</t>
        </is>
      </c>
      <c r="C45" s="6" t="inlineStr">
        <is>
          <t>〇</t>
        </is>
      </c>
      <c r="D45" s="6" t="inlineStr">
        <is>
          <t>〇</t>
        </is>
      </c>
      <c r="E45" s="6" t="inlineStr">
        <is>
          <t>〇</t>
        </is>
      </c>
      <c r="F45" s="6" t="inlineStr">
        <is>
          <t>〇</t>
        </is>
      </c>
      <c r="G45" s="6" t="inlineStr">
        <is>
          <t>〇</t>
        </is>
      </c>
      <c r="H45" s="6" t="inlineStr">
        <is>
          <t>〇</t>
        </is>
      </c>
      <c r="I45" s="6" t="inlineStr">
        <is>
          <t>〇</t>
        </is>
      </c>
      <c r="J45" s="6" t="inlineStr">
        <is>
          <t>〇</t>
        </is>
      </c>
      <c r="K45" s="6" t="inlineStr">
        <is>
          <t>〇</t>
        </is>
      </c>
      <c r="L45" s="6" t="inlineStr">
        <is>
          <t>〇</t>
        </is>
      </c>
      <c r="M45" s="6" t="inlineStr">
        <is>
          <t>〇</t>
        </is>
      </c>
      <c r="N45" s="6" t="inlineStr">
        <is>
          <t>〇</t>
        </is>
      </c>
      <c r="O45" s="6" t="inlineStr">
        <is>
          <t>〇</t>
        </is>
      </c>
      <c r="P45" s="6" t="inlineStr">
        <is>
          <t>〇</t>
        </is>
      </c>
      <c r="Q45" s="6" t="inlineStr">
        <is>
          <t>〇</t>
        </is>
      </c>
      <c r="R45" s="6" t="inlineStr">
        <is>
          <t>〇</t>
        </is>
      </c>
      <c r="S45" s="6" t="inlineStr">
        <is>
          <t>〇</t>
        </is>
      </c>
      <c r="T45" s="6" t="inlineStr">
        <is>
          <t>〇</t>
        </is>
      </c>
      <c r="U45" s="6" t="inlineStr">
        <is>
          <t>〇</t>
        </is>
      </c>
      <c r="V45" s="6" t="inlineStr">
        <is>
          <t>〇</t>
        </is>
      </c>
      <c r="W45" s="6" t="inlineStr">
        <is>
          <t>〇</t>
        </is>
      </c>
      <c r="X45" s="6" t="inlineStr">
        <is>
          <t>〇</t>
        </is>
      </c>
      <c r="Y45" s="6" t="inlineStr">
        <is>
          <t>〇</t>
        </is>
      </c>
      <c r="Z45" s="6" t="inlineStr">
        <is>
          <t>〇</t>
        </is>
      </c>
      <c r="AA45" s="6" t="inlineStr">
        <is>
          <t>〇</t>
        </is>
      </c>
      <c r="AB45" s="6" t="inlineStr">
        <is>
          <t>〇</t>
        </is>
      </c>
      <c r="AC45" s="6" t="inlineStr">
        <is>
          <t>〇</t>
        </is>
      </c>
      <c r="AD45" s="8">
        <f>SUM(COUNTIF(B45:AC45,"○"),COUNTIF(B45:AC45,"〇"),COUNTIF(B45:AC45,"出"),COUNTIF(B45:AC45,"早"),COUNTIF(B45:AC45,"遅"),COUNTIF(B45:AC45,"E"),COUNTIF(B45:AC45,"8時"),COUNTIF(B45:AC45,"ハヤ"),COUNTIF(B45:AC45,"オソ"),COUNTIF(B45:AC45,"イブ"))</f>
        <v>0</v>
      </c>
      <c r="AE45" s="8">
        <f>COUNTIF(B45:AC45,"休")+0.5*(COUNTIF(B45:AC45,"○/休")+COUNTIF(B45:AC45,"〇/休")+COUNTIF(B45:AC45,"休/○")+COUNTIF(B45:AC45,"休/〇"))</f>
        <v>0</v>
      </c>
      <c r="AF45" s="8">
        <f>COUNTIF(B45:AC45,"有")+0.5*(COUNTIF(B45:AC45,"○/有")+COUNTIF(B45:AC45,"〇/有")+COUNTIF(B45:AC45,"有/○")+COUNTIF(B45:AC45,"有/〇"))</f>
        <v>0</v>
      </c>
      <c r="AG45" s="8">
        <f>COUNTIF(B45:AC45,"上1")+COUNTIF(B45:AC45,"上2")+COUNTIF(B45:AC45,"上3")+COUNTIF(B45:AC45,"上4")+COUNTIF(B45:AC45,"上5")+COUNTIF(B45:AC45,"下1")+COUNTIF(B45:AC45,"下2")+COUNTIF(B45:AC45,"下3")</f>
        <v>0</v>
      </c>
      <c r="AH45" s="13">
        <f>COUNTIF(B45:AC45,"早")+COUNTIF(B45:AC45,"ハヤ")</f>
        <v>0</v>
      </c>
      <c r="AI45" s="13">
        <f>COUNTIF(B45:AC45,"遅")+COUNTIF(B45:AC45,"オソ")</f>
        <v>0</v>
      </c>
      <c r="AJ45" s="13">
        <f>COUNTIF(B45:AC45,"E")+COUNTIF(B45:AC45,"イブ")</f>
        <v>0</v>
      </c>
      <c r="AK45" s="13">
        <f>COUNTIF(B45:AC45,"8時")</f>
        <v>0</v>
      </c>
    </row>
    <row r="46" ht="20" customHeight="1">
      <c r="A46" s="5" t="inlineStr">
        <is>
          <t>スタッフ43</t>
        </is>
      </c>
      <c r="B46" s="6" t="inlineStr">
        <is>
          <t>〇</t>
        </is>
      </c>
      <c r="C46" s="6" t="inlineStr">
        <is>
          <t>〇</t>
        </is>
      </c>
      <c r="D46" s="6" t="inlineStr">
        <is>
          <t>〇</t>
        </is>
      </c>
      <c r="E46" s="6" t="inlineStr">
        <is>
          <t>〇</t>
        </is>
      </c>
      <c r="F46" s="6" t="inlineStr">
        <is>
          <t>〇</t>
        </is>
      </c>
      <c r="G46" s="6" t="inlineStr">
        <is>
          <t>〇</t>
        </is>
      </c>
      <c r="H46" s="6" t="inlineStr">
        <is>
          <t>〇</t>
        </is>
      </c>
      <c r="I46" s="6" t="inlineStr">
        <is>
          <t>〇</t>
        </is>
      </c>
      <c r="J46" s="6" t="inlineStr">
        <is>
          <t>〇</t>
        </is>
      </c>
      <c r="K46" s="6" t="inlineStr">
        <is>
          <t>〇</t>
        </is>
      </c>
      <c r="L46" s="6" t="inlineStr">
        <is>
          <t>〇</t>
        </is>
      </c>
      <c r="M46" s="6" t="inlineStr">
        <is>
          <t>〇</t>
        </is>
      </c>
      <c r="N46" s="6" t="inlineStr">
        <is>
          <t>〇</t>
        </is>
      </c>
      <c r="O46" s="6" t="inlineStr">
        <is>
          <t>〇</t>
        </is>
      </c>
      <c r="P46" s="6" t="inlineStr">
        <is>
          <t>〇</t>
        </is>
      </c>
      <c r="Q46" s="6" t="inlineStr">
        <is>
          <t>〇</t>
        </is>
      </c>
      <c r="R46" s="6" t="inlineStr">
        <is>
          <t>〇</t>
        </is>
      </c>
      <c r="S46" s="6" t="inlineStr">
        <is>
          <t>〇</t>
        </is>
      </c>
      <c r="T46" s="6" t="inlineStr">
        <is>
          <t>〇</t>
        </is>
      </c>
      <c r="U46" s="6" t="inlineStr">
        <is>
          <t>〇</t>
        </is>
      </c>
      <c r="V46" s="6" t="inlineStr">
        <is>
          <t>〇</t>
        </is>
      </c>
      <c r="W46" s="6" t="inlineStr">
        <is>
          <t>〇</t>
        </is>
      </c>
      <c r="X46" s="6" t="inlineStr">
        <is>
          <t>〇</t>
        </is>
      </c>
      <c r="Y46" s="6" t="inlineStr">
        <is>
          <t>〇</t>
        </is>
      </c>
      <c r="Z46" s="6" t="inlineStr">
        <is>
          <t>〇</t>
        </is>
      </c>
      <c r="AA46" s="6" t="inlineStr">
        <is>
          <t>〇</t>
        </is>
      </c>
      <c r="AB46" s="6" t="inlineStr">
        <is>
          <t>〇</t>
        </is>
      </c>
      <c r="AC46" s="6" t="inlineStr">
        <is>
          <t>〇</t>
        </is>
      </c>
      <c r="AD46" s="8">
        <f>SUM(COUNTIF(B46:AC46,"○"),COUNTIF(B46:AC46,"〇"),COUNTIF(B46:AC46,"出"),COUNTIF(B46:AC46,"早"),COUNTIF(B46:AC46,"遅"),COUNTIF(B46:AC46,"E"),COUNTIF(B46:AC46,"8時"),COUNTIF(B46:AC46,"ハヤ"),COUNTIF(B46:AC46,"オソ"),COUNTIF(B46:AC46,"イブ"))</f>
        <v>0</v>
      </c>
      <c r="AE46" s="8">
        <f>COUNTIF(B46:AC46,"休")+0.5*(COUNTIF(B46:AC46,"○/休")+COUNTIF(B46:AC46,"〇/休")+COUNTIF(B46:AC46,"休/○")+COUNTIF(B46:AC46,"休/〇"))</f>
        <v>0</v>
      </c>
      <c r="AF46" s="8">
        <f>COUNTIF(B46:AC46,"有")+0.5*(COUNTIF(B46:AC46,"○/有")+COUNTIF(B46:AC46,"〇/有")+COUNTIF(B46:AC46,"有/○")+COUNTIF(B46:AC46,"有/〇"))</f>
        <v>0</v>
      </c>
      <c r="AG46" s="8">
        <f>COUNTIF(B46:AC46,"上1")+COUNTIF(B46:AC46,"上2")+COUNTIF(B46:AC46,"上3")+COUNTIF(B46:AC46,"上4")+COUNTIF(B46:AC46,"上5")+COUNTIF(B46:AC46,"下1")+COUNTIF(B46:AC46,"下2")+COUNTIF(B46:AC46,"下3")</f>
        <v>0</v>
      </c>
      <c r="AH46" s="13">
        <f>COUNTIF(B46:AC46,"早")+COUNTIF(B46:AC46,"ハヤ")</f>
        <v>0</v>
      </c>
      <c r="AI46" s="13">
        <f>COUNTIF(B46:AC46,"遅")+COUNTIF(B46:AC46,"オソ")</f>
        <v>0</v>
      </c>
      <c r="AJ46" s="13">
        <f>COUNTIF(B46:AC46,"E")+COUNTIF(B46:AC46,"イブ")</f>
        <v>0</v>
      </c>
      <c r="AK46" s="13">
        <f>COUNTIF(B46:AC46,"8時")</f>
        <v>0</v>
      </c>
    </row>
    <row r="47" ht="20" customHeight="1">
      <c r="A47" s="5" t="inlineStr">
        <is>
          <t>スタッフ44</t>
        </is>
      </c>
      <c r="B47" s="6" t="inlineStr">
        <is>
          <t>〇</t>
        </is>
      </c>
      <c r="C47" s="6" t="inlineStr">
        <is>
          <t>〇</t>
        </is>
      </c>
      <c r="D47" s="6" t="inlineStr">
        <is>
          <t>〇</t>
        </is>
      </c>
      <c r="E47" s="6" t="inlineStr">
        <is>
          <t>〇</t>
        </is>
      </c>
      <c r="F47" s="6" t="inlineStr">
        <is>
          <t>〇</t>
        </is>
      </c>
      <c r="G47" s="6" t="inlineStr">
        <is>
          <t>〇</t>
        </is>
      </c>
      <c r="H47" s="6" t="inlineStr">
        <is>
          <t>〇</t>
        </is>
      </c>
      <c r="I47" s="6" t="inlineStr">
        <is>
          <t>〇</t>
        </is>
      </c>
      <c r="J47" s="6" t="inlineStr">
        <is>
          <t>〇</t>
        </is>
      </c>
      <c r="K47" s="6" t="inlineStr">
        <is>
          <t>〇</t>
        </is>
      </c>
      <c r="L47" s="6" t="inlineStr">
        <is>
          <t>〇</t>
        </is>
      </c>
      <c r="M47" s="6" t="inlineStr">
        <is>
          <t>〇</t>
        </is>
      </c>
      <c r="N47" s="6" t="inlineStr">
        <is>
          <t>〇</t>
        </is>
      </c>
      <c r="O47" s="6" t="inlineStr">
        <is>
          <t>〇</t>
        </is>
      </c>
      <c r="P47" s="6" t="inlineStr">
        <is>
          <t>〇</t>
        </is>
      </c>
      <c r="Q47" s="6" t="inlineStr">
        <is>
          <t>〇</t>
        </is>
      </c>
      <c r="R47" s="6" t="inlineStr">
        <is>
          <t>〇</t>
        </is>
      </c>
      <c r="S47" s="6" t="inlineStr">
        <is>
          <t>〇</t>
        </is>
      </c>
      <c r="T47" s="6" t="inlineStr">
        <is>
          <t>〇</t>
        </is>
      </c>
      <c r="U47" s="6" t="inlineStr">
        <is>
          <t>〇</t>
        </is>
      </c>
      <c r="V47" s="6" t="inlineStr">
        <is>
          <t>〇</t>
        </is>
      </c>
      <c r="W47" s="6" t="inlineStr">
        <is>
          <t>〇</t>
        </is>
      </c>
      <c r="X47" s="6" t="inlineStr">
        <is>
          <t>〇</t>
        </is>
      </c>
      <c r="Y47" s="6" t="inlineStr">
        <is>
          <t>〇</t>
        </is>
      </c>
      <c r="Z47" s="6" t="inlineStr">
        <is>
          <t>〇</t>
        </is>
      </c>
      <c r="AA47" s="6" t="inlineStr">
        <is>
          <t>〇</t>
        </is>
      </c>
      <c r="AB47" s="6" t="inlineStr">
        <is>
          <t>〇</t>
        </is>
      </c>
      <c r="AC47" s="6" t="inlineStr">
        <is>
          <t>〇</t>
        </is>
      </c>
      <c r="AD47" s="8">
        <f>SUM(COUNTIF(B47:AC47,"○"),COUNTIF(B47:AC47,"〇"),COUNTIF(B47:AC47,"出"),COUNTIF(B47:AC47,"早"),COUNTIF(B47:AC47,"遅"),COUNTIF(B47:AC47,"E"),COUNTIF(B47:AC47,"8時"),COUNTIF(B47:AC47,"ハヤ"),COUNTIF(B47:AC47,"オソ"),COUNTIF(B47:AC47,"イブ"))</f>
        <v>0</v>
      </c>
      <c r="AE47" s="8">
        <f>COUNTIF(B47:AC47,"休")+0.5*(COUNTIF(B47:AC47,"○/休")+COUNTIF(B47:AC47,"〇/休")+COUNTIF(B47:AC47,"休/○")+COUNTIF(B47:AC47,"休/〇"))</f>
        <v>0</v>
      </c>
      <c r="AF47" s="8">
        <f>COUNTIF(B47:AC47,"有")+0.5*(COUNTIF(B47:AC47,"○/有")+COUNTIF(B47:AC47,"〇/有")+COUNTIF(B47:AC47,"有/○")+COUNTIF(B47:AC47,"有/〇"))</f>
        <v>0</v>
      </c>
      <c r="AG47" s="8">
        <f>COUNTIF(B47:AC47,"上1")+COUNTIF(B47:AC47,"上2")+COUNTIF(B47:AC47,"上3")+COUNTIF(B47:AC47,"上4")+COUNTIF(B47:AC47,"上5")+COUNTIF(B47:AC47,"下1")+COUNTIF(B47:AC47,"下2")+COUNTIF(B47:AC47,"下3")</f>
        <v>0</v>
      </c>
      <c r="AH47" s="13">
        <f>COUNTIF(B47:AC47,"早")+COUNTIF(B47:AC47,"ハヤ")</f>
        <v>0</v>
      </c>
      <c r="AI47" s="13">
        <f>COUNTIF(B47:AC47,"遅")+COUNTIF(B47:AC47,"オソ")</f>
        <v>0</v>
      </c>
      <c r="AJ47" s="13">
        <f>COUNTIF(B47:AC47,"E")+COUNTIF(B47:AC47,"イブ")</f>
        <v>0</v>
      </c>
      <c r="AK47" s="13">
        <f>COUNTIF(B47:AC47,"8時")</f>
        <v>0</v>
      </c>
    </row>
    <row r="48" ht="20" customHeight="1">
      <c r="A48" s="5" t="inlineStr">
        <is>
          <t>スタッフ45</t>
        </is>
      </c>
      <c r="B48" s="6" t="inlineStr">
        <is>
          <t>〇</t>
        </is>
      </c>
      <c r="C48" s="6" t="inlineStr">
        <is>
          <t>〇</t>
        </is>
      </c>
      <c r="D48" s="6" t="inlineStr">
        <is>
          <t>〇</t>
        </is>
      </c>
      <c r="E48" s="6" t="inlineStr">
        <is>
          <t>〇</t>
        </is>
      </c>
      <c r="F48" s="6" t="inlineStr">
        <is>
          <t>〇</t>
        </is>
      </c>
      <c r="G48" s="6" t="inlineStr">
        <is>
          <t>〇</t>
        </is>
      </c>
      <c r="H48" s="6" t="inlineStr">
        <is>
          <t>〇</t>
        </is>
      </c>
      <c r="I48" s="6" t="inlineStr">
        <is>
          <t>〇</t>
        </is>
      </c>
      <c r="J48" s="6" t="inlineStr">
        <is>
          <t>〇</t>
        </is>
      </c>
      <c r="K48" s="6" t="inlineStr">
        <is>
          <t>〇</t>
        </is>
      </c>
      <c r="L48" s="6" t="inlineStr">
        <is>
          <t>〇</t>
        </is>
      </c>
      <c r="M48" s="6" t="inlineStr">
        <is>
          <t>〇</t>
        </is>
      </c>
      <c r="N48" s="6" t="inlineStr">
        <is>
          <t>〇</t>
        </is>
      </c>
      <c r="O48" s="6" t="inlineStr">
        <is>
          <t>〇</t>
        </is>
      </c>
      <c r="P48" s="6" t="inlineStr">
        <is>
          <t>〇</t>
        </is>
      </c>
      <c r="Q48" s="6" t="inlineStr">
        <is>
          <t>〇</t>
        </is>
      </c>
      <c r="R48" s="6" t="inlineStr">
        <is>
          <t>〇</t>
        </is>
      </c>
      <c r="S48" s="6" t="inlineStr">
        <is>
          <t>〇</t>
        </is>
      </c>
      <c r="T48" s="6" t="inlineStr">
        <is>
          <t>〇</t>
        </is>
      </c>
      <c r="U48" s="6" t="inlineStr">
        <is>
          <t>〇</t>
        </is>
      </c>
      <c r="V48" s="6" t="inlineStr">
        <is>
          <t>〇</t>
        </is>
      </c>
      <c r="W48" s="6" t="inlineStr">
        <is>
          <t>〇</t>
        </is>
      </c>
      <c r="X48" s="6" t="inlineStr">
        <is>
          <t>〇</t>
        </is>
      </c>
      <c r="Y48" s="6" t="inlineStr">
        <is>
          <t>〇</t>
        </is>
      </c>
      <c r="Z48" s="6" t="inlineStr">
        <is>
          <t>〇</t>
        </is>
      </c>
      <c r="AA48" s="6" t="inlineStr">
        <is>
          <t>〇</t>
        </is>
      </c>
      <c r="AB48" s="6" t="inlineStr">
        <is>
          <t>〇</t>
        </is>
      </c>
      <c r="AC48" s="6" t="inlineStr">
        <is>
          <t>〇</t>
        </is>
      </c>
      <c r="AD48" s="8">
        <f>SUM(COUNTIF(B48:AC48,"○"),COUNTIF(B48:AC48,"〇"),COUNTIF(B48:AC48,"出"),COUNTIF(B48:AC48,"早"),COUNTIF(B48:AC48,"遅"),COUNTIF(B48:AC48,"E"),COUNTIF(B48:AC48,"8時"),COUNTIF(B48:AC48,"ハヤ"),COUNTIF(B48:AC48,"オソ"),COUNTIF(B48:AC48,"イブ"))</f>
        <v>0</v>
      </c>
      <c r="AE48" s="8">
        <f>COUNTIF(B48:AC48,"休")+0.5*(COUNTIF(B48:AC48,"○/休")+COUNTIF(B48:AC48,"〇/休")+COUNTIF(B48:AC48,"休/○")+COUNTIF(B48:AC48,"休/〇"))</f>
        <v>0</v>
      </c>
      <c r="AF48" s="8">
        <f>COUNTIF(B48:AC48,"有")+0.5*(COUNTIF(B48:AC48,"○/有")+COUNTIF(B48:AC48,"〇/有")+COUNTIF(B48:AC48,"有/○")+COUNTIF(B48:AC48,"有/〇"))</f>
        <v>0</v>
      </c>
      <c r="AG48" s="8">
        <f>COUNTIF(B48:AC48,"上1")+COUNTIF(B48:AC48,"上2")+COUNTIF(B48:AC48,"上3")+COUNTIF(B48:AC48,"上4")+COUNTIF(B48:AC48,"上5")+COUNTIF(B48:AC48,"下1")+COUNTIF(B48:AC48,"下2")+COUNTIF(B48:AC48,"下3")</f>
        <v>0</v>
      </c>
      <c r="AH48" s="13">
        <f>COUNTIF(B48:AC48,"早")+COUNTIF(B48:AC48,"ハヤ")</f>
        <v>0</v>
      </c>
      <c r="AI48" s="13">
        <f>COUNTIF(B48:AC48,"遅")+COUNTIF(B48:AC48,"オソ")</f>
        <v>0</v>
      </c>
      <c r="AJ48" s="13">
        <f>COUNTIF(B48:AC48,"E")+COUNTIF(B48:AC48,"イブ")</f>
        <v>0</v>
      </c>
      <c r="AK48" s="13">
        <f>COUNTIF(B48:AC48,"8時")</f>
        <v>0</v>
      </c>
    </row>
    <row r="49" ht="20" customHeight="1">
      <c r="A49" s="5" t="inlineStr">
        <is>
          <t>スタッフ46</t>
        </is>
      </c>
      <c r="B49" s="6" t="inlineStr">
        <is>
          <t>〇</t>
        </is>
      </c>
      <c r="C49" s="6" t="inlineStr">
        <is>
          <t>〇</t>
        </is>
      </c>
      <c r="D49" s="6" t="inlineStr">
        <is>
          <t>〇</t>
        </is>
      </c>
      <c r="E49" s="6" t="inlineStr">
        <is>
          <t>〇</t>
        </is>
      </c>
      <c r="F49" s="6" t="inlineStr">
        <is>
          <t>〇</t>
        </is>
      </c>
      <c r="G49" s="6" t="inlineStr">
        <is>
          <t>〇</t>
        </is>
      </c>
      <c r="H49" s="6" t="inlineStr">
        <is>
          <t>〇</t>
        </is>
      </c>
      <c r="I49" s="6" t="inlineStr">
        <is>
          <t>〇</t>
        </is>
      </c>
      <c r="J49" s="6" t="inlineStr">
        <is>
          <t>〇</t>
        </is>
      </c>
      <c r="K49" s="6" t="inlineStr">
        <is>
          <t>〇</t>
        </is>
      </c>
      <c r="L49" s="6" t="inlineStr">
        <is>
          <t>〇</t>
        </is>
      </c>
      <c r="M49" s="6" t="inlineStr">
        <is>
          <t>〇</t>
        </is>
      </c>
      <c r="N49" s="6" t="inlineStr">
        <is>
          <t>〇</t>
        </is>
      </c>
      <c r="O49" s="6" t="inlineStr">
        <is>
          <t>〇</t>
        </is>
      </c>
      <c r="P49" s="6" t="inlineStr">
        <is>
          <t>〇</t>
        </is>
      </c>
      <c r="Q49" s="6" t="inlineStr">
        <is>
          <t>〇</t>
        </is>
      </c>
      <c r="R49" s="6" t="inlineStr">
        <is>
          <t>〇</t>
        </is>
      </c>
      <c r="S49" s="6" t="inlineStr">
        <is>
          <t>〇</t>
        </is>
      </c>
      <c r="T49" s="6" t="inlineStr">
        <is>
          <t>〇</t>
        </is>
      </c>
      <c r="U49" s="6" t="inlineStr">
        <is>
          <t>〇</t>
        </is>
      </c>
      <c r="V49" s="6" t="inlineStr">
        <is>
          <t>〇</t>
        </is>
      </c>
      <c r="W49" s="6" t="inlineStr">
        <is>
          <t>〇</t>
        </is>
      </c>
      <c r="X49" s="6" t="inlineStr">
        <is>
          <t>〇</t>
        </is>
      </c>
      <c r="Y49" s="6" t="inlineStr">
        <is>
          <t>〇</t>
        </is>
      </c>
      <c r="Z49" s="6" t="inlineStr">
        <is>
          <t>〇</t>
        </is>
      </c>
      <c r="AA49" s="6" t="inlineStr">
        <is>
          <t>〇</t>
        </is>
      </c>
      <c r="AB49" s="6" t="inlineStr">
        <is>
          <t>〇</t>
        </is>
      </c>
      <c r="AC49" s="6" t="inlineStr">
        <is>
          <t>〇</t>
        </is>
      </c>
      <c r="AD49" s="8">
        <f>SUM(COUNTIF(B49:AC49,"○"),COUNTIF(B49:AC49,"〇"),COUNTIF(B49:AC49,"出"),COUNTIF(B49:AC49,"早"),COUNTIF(B49:AC49,"遅"),COUNTIF(B49:AC49,"E"),COUNTIF(B49:AC49,"8時"),COUNTIF(B49:AC49,"ハヤ"),COUNTIF(B49:AC49,"オソ"),COUNTIF(B49:AC49,"イブ"))</f>
        <v>0</v>
      </c>
      <c r="AE49" s="8">
        <f>COUNTIF(B49:AC49,"休")+0.5*(COUNTIF(B49:AC49,"○/休")+COUNTIF(B49:AC49,"〇/休")+COUNTIF(B49:AC49,"休/○")+COUNTIF(B49:AC49,"休/〇"))</f>
        <v>0</v>
      </c>
      <c r="AF49" s="8">
        <f>COUNTIF(B49:AC49,"有")+0.5*(COUNTIF(B49:AC49,"○/有")+COUNTIF(B49:AC49,"〇/有")+COUNTIF(B49:AC49,"有/○")+COUNTIF(B49:AC49,"有/〇"))</f>
        <v>0</v>
      </c>
      <c r="AG49" s="8">
        <f>COUNTIF(B49:AC49,"上1")+COUNTIF(B49:AC49,"上2")+COUNTIF(B49:AC49,"上3")+COUNTIF(B49:AC49,"上4")+COUNTIF(B49:AC49,"上5")+COUNTIF(B49:AC49,"下1")+COUNTIF(B49:AC49,"下2")+COUNTIF(B49:AC49,"下3")</f>
        <v>0</v>
      </c>
      <c r="AH49" s="13">
        <f>COUNTIF(B49:AC49,"早")+COUNTIF(B49:AC49,"ハヤ")</f>
        <v>0</v>
      </c>
      <c r="AI49" s="13">
        <f>COUNTIF(B49:AC49,"遅")+COUNTIF(B49:AC49,"オソ")</f>
        <v>0</v>
      </c>
      <c r="AJ49" s="13">
        <f>COUNTIF(B49:AC49,"E")+COUNTIF(B49:AC49,"イブ")</f>
        <v>0</v>
      </c>
      <c r="AK49" s="13">
        <f>COUNTIF(B49:AC49,"8時")</f>
        <v>0</v>
      </c>
    </row>
    <row r="50" ht="20" customHeight="1">
      <c r="A50" s="5" t="inlineStr">
        <is>
          <t>スタッフ47</t>
        </is>
      </c>
      <c r="B50" s="6" t="inlineStr">
        <is>
          <t>〇</t>
        </is>
      </c>
      <c r="C50" s="6" t="inlineStr">
        <is>
          <t>〇</t>
        </is>
      </c>
      <c r="D50" s="6" t="inlineStr">
        <is>
          <t>〇</t>
        </is>
      </c>
      <c r="E50" s="6" t="inlineStr">
        <is>
          <t>〇</t>
        </is>
      </c>
      <c r="F50" s="6" t="inlineStr">
        <is>
          <t>〇</t>
        </is>
      </c>
      <c r="G50" s="6" t="inlineStr">
        <is>
          <t>〇</t>
        </is>
      </c>
      <c r="H50" s="6" t="inlineStr">
        <is>
          <t>〇</t>
        </is>
      </c>
      <c r="I50" s="6" t="inlineStr">
        <is>
          <t>〇</t>
        </is>
      </c>
      <c r="J50" s="6" t="inlineStr">
        <is>
          <t>〇</t>
        </is>
      </c>
      <c r="K50" s="6" t="inlineStr">
        <is>
          <t>〇</t>
        </is>
      </c>
      <c r="L50" s="6" t="inlineStr">
        <is>
          <t>〇</t>
        </is>
      </c>
      <c r="M50" s="6" t="inlineStr">
        <is>
          <t>〇</t>
        </is>
      </c>
      <c r="N50" s="6" t="inlineStr">
        <is>
          <t>〇</t>
        </is>
      </c>
      <c r="O50" s="6" t="inlineStr">
        <is>
          <t>〇</t>
        </is>
      </c>
      <c r="P50" s="6" t="inlineStr">
        <is>
          <t>〇</t>
        </is>
      </c>
      <c r="Q50" s="6" t="inlineStr">
        <is>
          <t>〇</t>
        </is>
      </c>
      <c r="R50" s="6" t="inlineStr">
        <is>
          <t>〇</t>
        </is>
      </c>
      <c r="S50" s="6" t="inlineStr">
        <is>
          <t>〇</t>
        </is>
      </c>
      <c r="T50" s="6" t="inlineStr">
        <is>
          <t>〇</t>
        </is>
      </c>
      <c r="U50" s="6" t="inlineStr">
        <is>
          <t>〇</t>
        </is>
      </c>
      <c r="V50" s="6" t="inlineStr">
        <is>
          <t>〇</t>
        </is>
      </c>
      <c r="W50" s="6" t="inlineStr">
        <is>
          <t>〇</t>
        </is>
      </c>
      <c r="X50" s="6" t="inlineStr">
        <is>
          <t>〇</t>
        </is>
      </c>
      <c r="Y50" s="6" t="inlineStr">
        <is>
          <t>〇</t>
        </is>
      </c>
      <c r="Z50" s="6" t="inlineStr">
        <is>
          <t>〇</t>
        </is>
      </c>
      <c r="AA50" s="6" t="inlineStr">
        <is>
          <t>〇</t>
        </is>
      </c>
      <c r="AB50" s="6" t="inlineStr">
        <is>
          <t>〇</t>
        </is>
      </c>
      <c r="AC50" s="6" t="inlineStr">
        <is>
          <t>〇</t>
        </is>
      </c>
      <c r="AD50" s="8">
        <f>SUM(COUNTIF(B50:AC50,"○"),COUNTIF(B50:AC50,"〇"),COUNTIF(B50:AC50,"出"),COUNTIF(B50:AC50,"早"),COUNTIF(B50:AC50,"遅"),COUNTIF(B50:AC50,"E"),COUNTIF(B50:AC50,"8時"),COUNTIF(B50:AC50,"ハヤ"),COUNTIF(B50:AC50,"オソ"),COUNTIF(B50:AC50,"イブ"))</f>
        <v>0</v>
      </c>
      <c r="AE50" s="8">
        <f>COUNTIF(B50:AC50,"休")+0.5*(COUNTIF(B50:AC50,"○/休")+COUNTIF(B50:AC50,"〇/休")+COUNTIF(B50:AC50,"休/○")+COUNTIF(B50:AC50,"休/〇"))</f>
        <v>0</v>
      </c>
      <c r="AF50" s="8">
        <f>COUNTIF(B50:AC50,"有")+0.5*(COUNTIF(B50:AC50,"○/有")+COUNTIF(B50:AC50,"〇/有")+COUNTIF(B50:AC50,"有/○")+COUNTIF(B50:AC50,"有/〇"))</f>
        <v>0</v>
      </c>
      <c r="AG50" s="8">
        <f>COUNTIF(B50:AC50,"上1")+COUNTIF(B50:AC50,"上2")+COUNTIF(B50:AC50,"上3")+COUNTIF(B50:AC50,"上4")+COUNTIF(B50:AC50,"上5")+COUNTIF(B50:AC50,"下1")+COUNTIF(B50:AC50,"下2")+COUNTIF(B50:AC50,"下3")</f>
        <v>0</v>
      </c>
      <c r="AH50" s="13">
        <f>COUNTIF(B50:AC50,"早")+COUNTIF(B50:AC50,"ハヤ")</f>
        <v>0</v>
      </c>
      <c r="AI50" s="13">
        <f>COUNTIF(B50:AC50,"遅")+COUNTIF(B50:AC50,"オソ")</f>
        <v>0</v>
      </c>
      <c r="AJ50" s="13">
        <f>COUNTIF(B50:AC50,"E")+COUNTIF(B50:AC50,"イブ")</f>
        <v>0</v>
      </c>
      <c r="AK50" s="13">
        <f>COUNTIF(B50:AC50,"8時")</f>
        <v>0</v>
      </c>
    </row>
    <row r="51" ht="20" customHeight="1">
      <c r="A51" s="5" t="inlineStr">
        <is>
          <t>スタッフ48</t>
        </is>
      </c>
      <c r="B51" s="6" t="inlineStr">
        <is>
          <t>〇</t>
        </is>
      </c>
      <c r="C51" s="6" t="inlineStr">
        <is>
          <t>〇</t>
        </is>
      </c>
      <c r="D51" s="6" t="inlineStr">
        <is>
          <t>〇</t>
        </is>
      </c>
      <c r="E51" s="6" t="inlineStr">
        <is>
          <t>〇</t>
        </is>
      </c>
      <c r="F51" s="6" t="inlineStr">
        <is>
          <t>〇</t>
        </is>
      </c>
      <c r="G51" s="6" t="inlineStr">
        <is>
          <t>〇</t>
        </is>
      </c>
      <c r="H51" s="6" t="inlineStr">
        <is>
          <t>〇</t>
        </is>
      </c>
      <c r="I51" s="6" t="inlineStr">
        <is>
          <t>〇</t>
        </is>
      </c>
      <c r="J51" s="6" t="inlineStr">
        <is>
          <t>〇</t>
        </is>
      </c>
      <c r="K51" s="6" t="inlineStr">
        <is>
          <t>〇</t>
        </is>
      </c>
      <c r="L51" s="6" t="inlineStr">
        <is>
          <t>〇</t>
        </is>
      </c>
      <c r="M51" s="6" t="inlineStr">
        <is>
          <t>〇</t>
        </is>
      </c>
      <c r="N51" s="6" t="inlineStr">
        <is>
          <t>〇</t>
        </is>
      </c>
      <c r="O51" s="6" t="inlineStr">
        <is>
          <t>〇</t>
        </is>
      </c>
      <c r="P51" s="6" t="inlineStr">
        <is>
          <t>〇</t>
        </is>
      </c>
      <c r="Q51" s="6" t="inlineStr">
        <is>
          <t>〇</t>
        </is>
      </c>
      <c r="R51" s="6" t="inlineStr">
        <is>
          <t>〇</t>
        </is>
      </c>
      <c r="S51" s="6" t="inlineStr">
        <is>
          <t>〇</t>
        </is>
      </c>
      <c r="T51" s="6" t="inlineStr">
        <is>
          <t>〇</t>
        </is>
      </c>
      <c r="U51" s="6" t="inlineStr">
        <is>
          <t>〇</t>
        </is>
      </c>
      <c r="V51" s="6" t="inlineStr">
        <is>
          <t>〇</t>
        </is>
      </c>
      <c r="W51" s="6" t="inlineStr">
        <is>
          <t>〇</t>
        </is>
      </c>
      <c r="X51" s="6" t="inlineStr">
        <is>
          <t>〇</t>
        </is>
      </c>
      <c r="Y51" s="6" t="inlineStr">
        <is>
          <t>〇</t>
        </is>
      </c>
      <c r="Z51" s="6" t="inlineStr">
        <is>
          <t>〇</t>
        </is>
      </c>
      <c r="AA51" s="6" t="inlineStr">
        <is>
          <t>〇</t>
        </is>
      </c>
      <c r="AB51" s="6" t="inlineStr">
        <is>
          <t>〇</t>
        </is>
      </c>
      <c r="AC51" s="6" t="inlineStr">
        <is>
          <t>〇</t>
        </is>
      </c>
      <c r="AD51" s="8">
        <f>SUM(COUNTIF(B51:AC51,"○"),COUNTIF(B51:AC51,"〇"),COUNTIF(B51:AC51,"出"),COUNTIF(B51:AC51,"早"),COUNTIF(B51:AC51,"遅"),COUNTIF(B51:AC51,"E"),COUNTIF(B51:AC51,"8時"),COUNTIF(B51:AC51,"ハヤ"),COUNTIF(B51:AC51,"オソ"),COUNTIF(B51:AC51,"イブ"))</f>
        <v>0</v>
      </c>
      <c r="AE51" s="8">
        <f>COUNTIF(B51:AC51,"休")+0.5*(COUNTIF(B51:AC51,"○/休")+COUNTIF(B51:AC51,"〇/休")+COUNTIF(B51:AC51,"休/○")+COUNTIF(B51:AC51,"休/〇"))</f>
        <v>0</v>
      </c>
      <c r="AF51" s="8">
        <f>COUNTIF(B51:AC51,"有")+0.5*(COUNTIF(B51:AC51,"○/有")+COUNTIF(B51:AC51,"〇/有")+COUNTIF(B51:AC51,"有/○")+COUNTIF(B51:AC51,"有/〇"))</f>
        <v>0</v>
      </c>
      <c r="AG51" s="8">
        <f>COUNTIF(B51:AC51,"上1")+COUNTIF(B51:AC51,"上2")+COUNTIF(B51:AC51,"上3")+COUNTIF(B51:AC51,"上4")+COUNTIF(B51:AC51,"上5")+COUNTIF(B51:AC51,"下1")+COUNTIF(B51:AC51,"下2")+COUNTIF(B51:AC51,"下3")</f>
        <v>0</v>
      </c>
      <c r="AH51" s="13">
        <f>COUNTIF(B51:AC51,"早")+COUNTIF(B51:AC51,"ハヤ")</f>
        <v>0</v>
      </c>
      <c r="AI51" s="13">
        <f>COUNTIF(B51:AC51,"遅")+COUNTIF(B51:AC51,"オソ")</f>
        <v>0</v>
      </c>
      <c r="AJ51" s="13">
        <f>COUNTIF(B51:AC51,"E")+COUNTIF(B51:AC51,"イブ")</f>
        <v>0</v>
      </c>
      <c r="AK51" s="13">
        <f>COUNTIF(B51:AC51,"8時")</f>
        <v>0</v>
      </c>
    </row>
    <row r="52" ht="20" customHeight="1">
      <c r="A52" s="9" t="inlineStr">
        <is>
          <t>出勤人数合計</t>
        </is>
      </c>
      <c r="B52" s="9">
        <f>SUM(COUNTIF(B$4:B$51,"○"),COUNTIF(B$4:B$51,"〇"),COUNTIF(B$4:B$51,"出"),COUNTIF(B$4:B$51,"早"),COUNTIF(B$4:B$51,"遅"),COUNTIF(B$4:B$51,"E"),COUNTIF(B$4:B$51,"8時"),COUNTIF(B$4:B$51,"ハヤ"),COUNTIF(B$4:B$51,"オソ"),COUNTIF(B$4:B$51,"イブ"))</f>
        <v>0</v>
      </c>
      <c r="C52" s="9">
        <f>SUM(COUNTIF(C$4:C$51,"○"),COUNTIF(C$4:C$51,"〇"),COUNTIF(C$4:C$51,"出"),COUNTIF(C$4:C$51,"早"),COUNTIF(C$4:C$51,"遅"),COUNTIF(C$4:C$51,"E"),COUNTIF(C$4:C$51,"8時"),COUNTIF(C$4:C$51,"ハヤ"),COUNTIF(C$4:C$51,"オソ"),COUNTIF(C$4:C$51,"イブ"))</f>
        <v>0</v>
      </c>
      <c r="D52" s="9">
        <f>SUM(COUNTIF(D$4:D$51,"○"),COUNTIF(D$4:D$51,"〇"),COUNTIF(D$4:D$51,"出"),COUNTIF(D$4:D$51,"早"),COUNTIF(D$4:D$51,"遅"),COUNTIF(D$4:D$51,"E"),COUNTIF(D$4:D$51,"8時"),COUNTIF(D$4:D$51,"ハヤ"),COUNTIF(D$4:D$51,"オソ"),COUNTIF(D$4:D$51,"イブ"))</f>
        <v>0</v>
      </c>
      <c r="E52" s="9">
        <f>SUM(COUNTIF(E$4:E$51,"○"),COUNTIF(E$4:E$51,"〇"),COUNTIF(E$4:E$51,"出"),COUNTIF(E$4:E$51,"早"),COUNTIF(E$4:E$51,"遅"),COUNTIF(E$4:E$51,"E"),COUNTIF(E$4:E$51,"8時"),COUNTIF(E$4:E$51,"ハヤ"),COUNTIF(E$4:E$51,"オソ"),COUNTIF(E$4:E$51,"イブ"))</f>
        <v>0</v>
      </c>
      <c r="F52" s="9">
        <f>SUM(COUNTIF(F$4:F$51,"○"),COUNTIF(F$4:F$51,"〇"),COUNTIF(F$4:F$51,"出"),COUNTIF(F$4:F$51,"早"),COUNTIF(F$4:F$51,"遅"),COUNTIF(F$4:F$51,"E"),COUNTIF(F$4:F$51,"8時"),COUNTIF(F$4:F$51,"ハヤ"),COUNTIF(F$4:F$51,"オソ"),COUNTIF(F$4:F$51,"イブ"))</f>
        <v>0</v>
      </c>
      <c r="G52" s="9">
        <f>SUM(COUNTIF(G$4:G$51,"○"),COUNTIF(G$4:G$51,"〇"),COUNTIF(G$4:G$51,"出"),COUNTIF(G$4:G$51,"早"),COUNTIF(G$4:G$51,"遅"),COUNTIF(G$4:G$51,"E"),COUNTIF(G$4:G$51,"8時"),COUNTIF(G$4:G$51,"ハヤ"),COUNTIF(G$4:G$51,"オソ"),COUNTIF(G$4:G$51,"イブ"))</f>
        <v>0</v>
      </c>
      <c r="H52" s="9">
        <f>SUM(COUNTIF(H$4:H$51,"○"),COUNTIF(H$4:H$51,"〇"),COUNTIF(H$4:H$51,"出"),COUNTIF(H$4:H$51,"早"),COUNTIF(H$4:H$51,"遅"),COUNTIF(H$4:H$51,"E"),COUNTIF(H$4:H$51,"8時"),COUNTIF(H$4:H$51,"ハヤ"),COUNTIF(H$4:H$51,"オソ"),COUNTIF(H$4:H$51,"イブ"))</f>
        <v>0</v>
      </c>
      <c r="I52" s="9">
        <f>SUM(COUNTIF(I$4:I$51,"○"),COUNTIF(I$4:I$51,"〇"),COUNTIF(I$4:I$51,"出"),COUNTIF(I$4:I$51,"早"),COUNTIF(I$4:I$51,"遅"),COUNTIF(I$4:I$51,"E"),COUNTIF(I$4:I$51,"8時"),COUNTIF(I$4:I$51,"ハヤ"),COUNTIF(I$4:I$51,"オソ"),COUNTIF(I$4:I$51,"イブ"))</f>
        <v>0</v>
      </c>
      <c r="J52" s="9">
        <f>SUM(COUNTIF(J$4:J$51,"○"),COUNTIF(J$4:J$51,"〇"),COUNTIF(J$4:J$51,"出"),COUNTIF(J$4:J$51,"早"),COUNTIF(J$4:J$51,"遅"),COUNTIF(J$4:J$51,"E"),COUNTIF(J$4:J$51,"8時"),COUNTIF(J$4:J$51,"ハヤ"),COUNTIF(J$4:J$51,"オソ"),COUNTIF(J$4:J$51,"イブ"))</f>
        <v>0</v>
      </c>
      <c r="K52" s="9">
        <f>SUM(COUNTIF(K$4:K$51,"○"),COUNTIF(K$4:K$51,"〇"),COUNTIF(K$4:K$51,"出"),COUNTIF(K$4:K$51,"早"),COUNTIF(K$4:K$51,"遅"),COUNTIF(K$4:K$51,"E"),COUNTIF(K$4:K$51,"8時"),COUNTIF(K$4:K$51,"ハヤ"),COUNTIF(K$4:K$51,"オソ"),COUNTIF(K$4:K$51,"イブ"))</f>
        <v>0</v>
      </c>
      <c r="L52" s="9">
        <f>SUM(COUNTIF(L$4:L$51,"○"),COUNTIF(L$4:L$51,"〇"),COUNTIF(L$4:L$51,"出"),COUNTIF(L$4:L$51,"早"),COUNTIF(L$4:L$51,"遅"),COUNTIF(L$4:L$51,"E"),COUNTIF(L$4:L$51,"8時"),COUNTIF(L$4:L$51,"ハヤ"),COUNTIF(L$4:L$51,"オソ"),COUNTIF(L$4:L$51,"イブ"))</f>
        <v>0</v>
      </c>
      <c r="M52" s="9">
        <f>SUM(COUNTIF(M$4:M$51,"○"),COUNTIF(M$4:M$51,"〇"),COUNTIF(M$4:M$51,"出"),COUNTIF(M$4:M$51,"早"),COUNTIF(M$4:M$51,"遅"),COUNTIF(M$4:M$51,"E"),COUNTIF(M$4:M$51,"8時"),COUNTIF(M$4:M$51,"ハヤ"),COUNTIF(M$4:M$51,"オソ"),COUNTIF(M$4:M$51,"イブ"))</f>
        <v>0</v>
      </c>
      <c r="N52" s="9">
        <f>SUM(COUNTIF(N$4:N$51,"○"),COUNTIF(N$4:N$51,"〇"),COUNTIF(N$4:N$51,"出"),COUNTIF(N$4:N$51,"早"),COUNTIF(N$4:N$51,"遅"),COUNTIF(N$4:N$51,"E"),COUNTIF(N$4:N$51,"8時"),COUNTIF(N$4:N$51,"ハヤ"),COUNTIF(N$4:N$51,"オソ"),COUNTIF(N$4:N$51,"イブ"))</f>
        <v>0</v>
      </c>
      <c r="O52" s="9">
        <f>SUM(COUNTIF(O$4:O$51,"○"),COUNTIF(O$4:O$51,"〇"),COUNTIF(O$4:O$51,"出"),COUNTIF(O$4:O$51,"早"),COUNTIF(O$4:O$51,"遅"),COUNTIF(O$4:O$51,"E"),COUNTIF(O$4:O$51,"8時"),COUNTIF(O$4:O$51,"ハヤ"),COUNTIF(O$4:O$51,"オソ"),COUNTIF(O$4:O$51,"イブ"))</f>
        <v>0</v>
      </c>
      <c r="P52" s="9">
        <f>SUM(COUNTIF(P$4:P$51,"○"),COUNTIF(P$4:P$51,"〇"),COUNTIF(P$4:P$51,"出"),COUNTIF(P$4:P$51,"早"),COUNTIF(P$4:P$51,"遅"),COUNTIF(P$4:P$51,"E"),COUNTIF(P$4:P$51,"8時"),COUNTIF(P$4:P$51,"ハヤ"),COUNTIF(P$4:P$51,"オソ"),COUNTIF(P$4:P$51,"イブ"))</f>
        <v>0</v>
      </c>
      <c r="Q52" s="9">
        <f>SUM(COUNTIF(Q$4:Q$51,"○"),COUNTIF(Q$4:Q$51,"〇"),COUNTIF(Q$4:Q$51,"出"),COUNTIF(Q$4:Q$51,"早"),COUNTIF(Q$4:Q$51,"遅"),COUNTIF(Q$4:Q$51,"E"),COUNTIF(Q$4:Q$51,"8時"),COUNTIF(Q$4:Q$51,"ハヤ"),COUNTIF(Q$4:Q$51,"オソ"),COUNTIF(Q$4:Q$51,"イブ"))</f>
        <v>0</v>
      </c>
      <c r="R52" s="9">
        <f>SUM(COUNTIF(R$4:R$51,"○"),COUNTIF(R$4:R$51,"〇"),COUNTIF(R$4:R$51,"出"),COUNTIF(R$4:R$51,"早"),COUNTIF(R$4:R$51,"遅"),COUNTIF(R$4:R$51,"E"),COUNTIF(R$4:R$51,"8時"),COUNTIF(R$4:R$51,"ハヤ"),COUNTIF(R$4:R$51,"オソ"),COUNTIF(R$4:R$51,"イブ"))</f>
        <v>0</v>
      </c>
      <c r="S52" s="9">
        <f>SUM(COUNTIF(S$4:S$51,"○"),COUNTIF(S$4:S$51,"〇"),COUNTIF(S$4:S$51,"出"),COUNTIF(S$4:S$51,"早"),COUNTIF(S$4:S$51,"遅"),COUNTIF(S$4:S$51,"E"),COUNTIF(S$4:S$51,"8時"),COUNTIF(S$4:S$51,"ハヤ"),COUNTIF(S$4:S$51,"オソ"),COUNTIF(S$4:S$51,"イブ"))</f>
        <v>0</v>
      </c>
      <c r="T52" s="9">
        <f>SUM(COUNTIF(T$4:T$51,"○"),COUNTIF(T$4:T$51,"〇"),COUNTIF(T$4:T$51,"出"),COUNTIF(T$4:T$51,"早"),COUNTIF(T$4:T$51,"遅"),COUNTIF(T$4:T$51,"E"),COUNTIF(T$4:T$51,"8時"),COUNTIF(T$4:T$51,"ハヤ"),COUNTIF(T$4:T$51,"オソ"),COUNTIF(T$4:T$51,"イブ"))</f>
        <v>0</v>
      </c>
      <c r="U52" s="9">
        <f>SUM(COUNTIF(U$4:U$51,"○"),COUNTIF(U$4:U$51,"〇"),COUNTIF(U$4:U$51,"出"),COUNTIF(U$4:U$51,"早"),COUNTIF(U$4:U$51,"遅"),COUNTIF(U$4:U$51,"E"),COUNTIF(U$4:U$51,"8時"),COUNTIF(U$4:U$51,"ハヤ"),COUNTIF(U$4:U$51,"オソ"),COUNTIF(U$4:U$51,"イブ"))</f>
        <v>0</v>
      </c>
      <c r="V52" s="9">
        <f>SUM(COUNTIF(V$4:V$51,"○"),COUNTIF(V$4:V$51,"〇"),COUNTIF(V$4:V$51,"出"),COUNTIF(V$4:V$51,"早"),COUNTIF(V$4:V$51,"遅"),COUNTIF(V$4:V$51,"E"),COUNTIF(V$4:V$51,"8時"),COUNTIF(V$4:V$51,"ハヤ"),COUNTIF(V$4:V$51,"オソ"),COUNTIF(V$4:V$51,"イブ"))</f>
        <v>0</v>
      </c>
      <c r="W52" s="9">
        <f>SUM(COUNTIF(W$4:W$51,"○"),COUNTIF(W$4:W$51,"〇"),COUNTIF(W$4:W$51,"出"),COUNTIF(W$4:W$51,"早"),COUNTIF(W$4:W$51,"遅"),COUNTIF(W$4:W$51,"E"),COUNTIF(W$4:W$51,"8時"),COUNTIF(W$4:W$51,"ハヤ"),COUNTIF(W$4:W$51,"オソ"),COUNTIF(W$4:W$51,"イブ"))</f>
        <v>0</v>
      </c>
      <c r="X52" s="9">
        <f>SUM(COUNTIF(X$4:X$51,"○"),COUNTIF(X$4:X$51,"〇"),COUNTIF(X$4:X$51,"出"),COUNTIF(X$4:X$51,"早"),COUNTIF(X$4:X$51,"遅"),COUNTIF(X$4:X$51,"E"),COUNTIF(X$4:X$51,"8時"),COUNTIF(X$4:X$51,"ハヤ"),COUNTIF(X$4:X$51,"オソ"),COUNTIF(X$4:X$51,"イブ"))</f>
        <v>0</v>
      </c>
      <c r="Y52" s="9">
        <f>SUM(COUNTIF(Y$4:Y$51,"○"),COUNTIF(Y$4:Y$51,"〇"),COUNTIF(Y$4:Y$51,"出"),COUNTIF(Y$4:Y$51,"早"),COUNTIF(Y$4:Y$51,"遅"),COUNTIF(Y$4:Y$51,"E"),COUNTIF(Y$4:Y$51,"8時"),COUNTIF(Y$4:Y$51,"ハヤ"),COUNTIF(Y$4:Y$51,"オソ"),COUNTIF(Y$4:Y$51,"イブ"))</f>
        <v>0</v>
      </c>
      <c r="Z52" s="9">
        <f>SUM(COUNTIF(Z$4:Z$51,"○"),COUNTIF(Z$4:Z$51,"〇"),COUNTIF(Z$4:Z$51,"出"),COUNTIF(Z$4:Z$51,"早"),COUNTIF(Z$4:Z$51,"遅"),COUNTIF(Z$4:Z$51,"E"),COUNTIF(Z$4:Z$51,"8時"),COUNTIF(Z$4:Z$51,"ハヤ"),COUNTIF(Z$4:Z$51,"オソ"),COUNTIF(Z$4:Z$51,"イブ"))</f>
        <v>0</v>
      </c>
      <c r="AA52" s="9">
        <f>SUM(COUNTIF(AA$4:AA$51,"○"),COUNTIF(AA$4:AA$51,"〇"),COUNTIF(AA$4:AA$51,"出"),COUNTIF(AA$4:AA$51,"早"),COUNTIF(AA$4:AA$51,"遅"),COUNTIF(AA$4:AA$51,"E"),COUNTIF(AA$4:AA$51,"8時"),COUNTIF(AA$4:AA$51,"ハヤ"),COUNTIF(AA$4:AA$51,"オソ"),COUNTIF(AA$4:AA$51,"イブ"))</f>
        <v>0</v>
      </c>
      <c r="AB52" s="9">
        <f>SUM(COUNTIF(AB$4:AB$51,"○"),COUNTIF(AB$4:AB$51,"〇"),COUNTIF(AB$4:AB$51,"出"),COUNTIF(AB$4:AB$51,"早"),COUNTIF(AB$4:AB$51,"遅"),COUNTIF(AB$4:AB$51,"E"),COUNTIF(AB$4:AB$51,"8時"),COUNTIF(AB$4:AB$51,"ハヤ"),COUNTIF(AB$4:AB$51,"オソ"),COUNTIF(AB$4:AB$51,"イブ"))</f>
        <v>0</v>
      </c>
      <c r="AC52" s="9">
        <f>SUM(COUNTIF(AC$4:AC$51,"○"),COUNTIF(AC$4:AC$51,"〇"),COUNTIF(AC$4:AC$51,"出"),COUNTIF(AC$4:AC$51,"早"),COUNTIF(AC$4:AC$51,"遅"),COUNTIF(AC$4:AC$51,"E"),COUNTIF(AC$4:AC$51,"8時"),COUNTIF(AC$4:AC$51,"ハヤ"),COUNTIF(AC$4:AC$51,"オソ"),COUNTIF(AC$4:AC$51,"イブ"))</f>
        <v>0</v>
      </c>
      <c r="AD52" s="9">
        <f>SUM(AD$4:AD$51)</f>
        <v>0</v>
      </c>
      <c r="AE52" s="9">
        <f>SUM(AE$4:AE$51)</f>
        <v>0</v>
      </c>
      <c r="AF52" s="9">
        <f>SUM(AF$4:AF$51)</f>
        <v>0</v>
      </c>
      <c r="AG52" s="9">
        <f>SUM(AG$4:AG$51)</f>
        <v>0</v>
      </c>
      <c r="AH52" s="13">
        <f>SUM(AH$4:AH$51)</f>
        <v>0</v>
      </c>
      <c r="AI52" s="13">
        <f>SUM(AI$4:AI$51)</f>
        <v>0</v>
      </c>
      <c r="AJ52" s="13">
        <f>SUM(AJ$4:AJ$51)</f>
        <v>0</v>
      </c>
      <c r="AK52" s="13">
        <f>SUM(AK$4:AK$51)</f>
        <v>0</v>
      </c>
    </row>
    <row r="53" ht="20" customHeight="1">
      <c r="A53" s="9" t="inlineStr">
        <is>
          <t>実数合計</t>
        </is>
      </c>
      <c r="B53" s="9">
        <f>B52</f>
        <v>0</v>
      </c>
      <c r="C53" s="9">
        <f>C52</f>
        <v>0</v>
      </c>
      <c r="D53" s="9">
        <f>D52</f>
        <v>0</v>
      </c>
      <c r="E53" s="9">
        <f>E52-(-2)</f>
        <v>0</v>
      </c>
      <c r="F53" s="9">
        <f>F52-(-2)</f>
        <v>0</v>
      </c>
      <c r="G53" s="9">
        <f>G52</f>
        <v>0</v>
      </c>
      <c r="H53" s="9">
        <f>H52</f>
        <v>0</v>
      </c>
      <c r="I53" s="9">
        <f>I52</f>
        <v>0</v>
      </c>
      <c r="J53" s="9">
        <f>J52</f>
        <v>0</v>
      </c>
      <c r="K53" s="9">
        <f>K52</f>
        <v>0</v>
      </c>
      <c r="L53" s="9">
        <f>L52</f>
        <v>0</v>
      </c>
      <c r="M53" s="9">
        <f>M52</f>
        <v>0</v>
      </c>
      <c r="N53" s="9">
        <f>N52</f>
        <v>0</v>
      </c>
      <c r="O53" s="9">
        <f>O52</f>
        <v>0</v>
      </c>
      <c r="P53" s="9">
        <f>P52</f>
        <v>0</v>
      </c>
      <c r="Q53" s="9">
        <f>Q52</f>
        <v>0</v>
      </c>
      <c r="R53" s="9">
        <f>R52</f>
        <v>0</v>
      </c>
      <c r="S53" s="9">
        <f>S52</f>
        <v>0</v>
      </c>
      <c r="T53" s="9">
        <f>T52</f>
        <v>0</v>
      </c>
      <c r="U53" s="9">
        <f>U52</f>
        <v>0</v>
      </c>
      <c r="V53" s="9">
        <f>V52</f>
        <v>0</v>
      </c>
      <c r="W53" s="9">
        <f>W52</f>
        <v>0</v>
      </c>
      <c r="X53" s="9">
        <f>X52</f>
        <v>0</v>
      </c>
      <c r="Y53" s="9">
        <f>Y52</f>
        <v>0</v>
      </c>
      <c r="Z53" s="9">
        <f>Z52</f>
        <v>0</v>
      </c>
      <c r="AA53" s="9">
        <f>AA52</f>
        <v>0</v>
      </c>
      <c r="AB53" s="9">
        <f>AB52</f>
        <v>0</v>
      </c>
      <c r="AC53" s="9">
        <f>AC52</f>
        <v>0</v>
      </c>
      <c r="AD53" s="9">
        <f>SUM(B53:AC53)</f>
        <v>0</v>
      </c>
      <c r="AE53" s="9" t="inlineStr">
        <is>
          <t>-</t>
        </is>
      </c>
      <c r="AF53" s="9" t="inlineStr">
        <is>
          <t>-</t>
        </is>
      </c>
      <c r="AG53" s="9" t="inlineStr">
        <is>
          <t>-</t>
        </is>
      </c>
      <c r="AH53" s="9" t="inlineStr">
        <is>
          <t>-</t>
        </is>
      </c>
      <c r="AI53" s="9" t="inlineStr">
        <is>
          <t>-</t>
        </is>
      </c>
      <c r="AJ53" s="9" t="inlineStr">
        <is>
          <t>-</t>
        </is>
      </c>
      <c r="AK53" s="9" t="inlineStr">
        <is>
          <t>-</t>
        </is>
      </c>
    </row>
    <row r="54" ht="20" customHeight="1">
      <c r="A54" s="10" t="inlineStr">
        <is>
          <t>PT A 出勤</t>
        </is>
      </c>
      <c r="B54" s="10">
        <f>SUM(COUNTIF(B$4:B$13,"○"),COUNTIF(B$4:B$13,"〇"),COUNTIF(B$4:B$13,"出"),COUNTIF(B$4:B$13,"早"),COUNTIF(B$4:B$13,"遅"),COUNTIF(B$4:B$13,"E"),COUNTIF(B$4:B$13,"8時"),COUNTIF(B$4:B$13,"ハヤ"),COUNTIF(B$4:B$13,"オソ"),COUNTIF(B$4:B$13,"イブ"))</f>
        <v>0</v>
      </c>
      <c r="C54" s="10">
        <f>SUM(COUNTIF(C$4:C$13,"○"),COUNTIF(C$4:C$13,"〇"),COUNTIF(C$4:C$13,"出"),COUNTIF(C$4:C$13,"早"),COUNTIF(C$4:C$13,"遅"),COUNTIF(C$4:C$13,"E"),COUNTIF(C$4:C$13,"8時"),COUNTIF(C$4:C$13,"ハヤ"),COUNTIF(C$4:C$13,"オソ"),COUNTIF(C$4:C$13,"イブ"))</f>
        <v>0</v>
      </c>
      <c r="D54" s="10">
        <f>SUM(COUNTIF(D$4:D$13,"○"),COUNTIF(D$4:D$13,"〇"),COUNTIF(D$4:D$13,"出"),COUNTIF(D$4:D$13,"早"),COUNTIF(D$4:D$13,"遅"),COUNTIF(D$4:D$13,"E"),COUNTIF(D$4:D$13,"8時"),COUNTIF(D$4:D$13,"ハヤ"),COUNTIF(D$4:D$13,"オソ"),COUNTIF(D$4:D$13,"イブ"))</f>
        <v>0</v>
      </c>
      <c r="E54" s="10">
        <f>SUM(COUNTIF(E$4:E$13,"○"),COUNTIF(E$4:E$13,"〇"),COUNTIF(E$4:E$13,"出"),COUNTIF(E$4:E$13,"早"),COUNTIF(E$4:E$13,"遅"),COUNTIF(E$4:E$13,"E"),COUNTIF(E$4:E$13,"8時"),COUNTIF(E$4:E$13,"ハヤ"),COUNTIF(E$4:E$13,"オソ"),COUNTIF(E$4:E$13,"イブ"))</f>
        <v>0</v>
      </c>
      <c r="F54" s="10">
        <f>SUM(COUNTIF(F$4:F$13,"○"),COUNTIF(F$4:F$13,"〇"),COUNTIF(F$4:F$13,"出"),COUNTIF(F$4:F$13,"早"),COUNTIF(F$4:F$13,"遅"),COUNTIF(F$4:F$13,"E"),COUNTIF(F$4:F$13,"8時"),COUNTIF(F$4:F$13,"ハヤ"),COUNTIF(F$4:F$13,"オソ"),COUNTIF(F$4:F$13,"イブ"))</f>
        <v>0</v>
      </c>
      <c r="G54" s="10">
        <f>SUM(COUNTIF(G$4:G$13,"○"),COUNTIF(G$4:G$13,"〇"),COUNTIF(G$4:G$13,"出"),COUNTIF(G$4:G$13,"早"),COUNTIF(G$4:G$13,"遅"),COUNTIF(G$4:G$13,"E"),COUNTIF(G$4:G$13,"8時"),COUNTIF(G$4:G$13,"ハヤ"),COUNTIF(G$4:G$13,"オソ"),COUNTIF(G$4:G$13,"イブ"))</f>
        <v>0</v>
      </c>
      <c r="H54" s="10">
        <f>SUM(COUNTIF(H$4:H$13,"○"),COUNTIF(H$4:H$13,"〇"),COUNTIF(H$4:H$13,"出"),COUNTIF(H$4:H$13,"早"),COUNTIF(H$4:H$13,"遅"),COUNTIF(H$4:H$13,"E"),COUNTIF(H$4:H$13,"8時"),COUNTIF(H$4:H$13,"ハヤ"),COUNTIF(H$4:H$13,"オソ"),COUNTIF(H$4:H$13,"イブ"))</f>
        <v>0</v>
      </c>
      <c r="I54" s="10">
        <f>SUM(COUNTIF(I$4:I$13,"○"),COUNTIF(I$4:I$13,"〇"),COUNTIF(I$4:I$13,"出"),COUNTIF(I$4:I$13,"早"),COUNTIF(I$4:I$13,"遅"),COUNTIF(I$4:I$13,"E"),COUNTIF(I$4:I$13,"8時"),COUNTIF(I$4:I$13,"ハヤ"),COUNTIF(I$4:I$13,"オソ"),COUNTIF(I$4:I$13,"イブ"))</f>
        <v>0</v>
      </c>
      <c r="J54" s="10">
        <f>SUM(COUNTIF(J$4:J$13,"○"),COUNTIF(J$4:J$13,"〇"),COUNTIF(J$4:J$13,"出"),COUNTIF(J$4:J$13,"早"),COUNTIF(J$4:J$13,"遅"),COUNTIF(J$4:J$13,"E"),COUNTIF(J$4:J$13,"8時"),COUNTIF(J$4:J$13,"ハヤ"),COUNTIF(J$4:J$13,"オソ"),COUNTIF(J$4:J$13,"イブ"))</f>
        <v>0</v>
      </c>
      <c r="K54" s="10">
        <f>SUM(COUNTIF(K$4:K$13,"○"),COUNTIF(K$4:K$13,"〇"),COUNTIF(K$4:K$13,"出"),COUNTIF(K$4:K$13,"早"),COUNTIF(K$4:K$13,"遅"),COUNTIF(K$4:K$13,"E"),COUNTIF(K$4:K$13,"8時"),COUNTIF(K$4:K$13,"ハヤ"),COUNTIF(K$4:K$13,"オソ"),COUNTIF(K$4:K$13,"イブ"))</f>
        <v>0</v>
      </c>
      <c r="L54" s="10">
        <f>SUM(COUNTIF(L$4:L$13,"○"),COUNTIF(L$4:L$13,"〇"),COUNTIF(L$4:L$13,"出"),COUNTIF(L$4:L$13,"早"),COUNTIF(L$4:L$13,"遅"),COUNTIF(L$4:L$13,"E"),COUNTIF(L$4:L$13,"8時"),COUNTIF(L$4:L$13,"ハヤ"),COUNTIF(L$4:L$13,"オソ"),COUNTIF(L$4:L$13,"イブ"))</f>
        <v>0</v>
      </c>
      <c r="M54" s="10">
        <f>SUM(COUNTIF(M$4:M$13,"○"),COUNTIF(M$4:M$13,"〇"),COUNTIF(M$4:M$13,"出"),COUNTIF(M$4:M$13,"早"),COUNTIF(M$4:M$13,"遅"),COUNTIF(M$4:M$13,"E"),COUNTIF(M$4:M$13,"8時"),COUNTIF(M$4:M$13,"ハヤ"),COUNTIF(M$4:M$13,"オソ"),COUNTIF(M$4:M$13,"イブ"))</f>
        <v>0</v>
      </c>
      <c r="N54" s="10">
        <f>SUM(COUNTIF(N$4:N$13,"○"),COUNTIF(N$4:N$13,"〇"),COUNTIF(N$4:N$13,"出"),COUNTIF(N$4:N$13,"早"),COUNTIF(N$4:N$13,"遅"),COUNTIF(N$4:N$13,"E"),COUNTIF(N$4:N$13,"8時"),COUNTIF(N$4:N$13,"ハヤ"),COUNTIF(N$4:N$13,"オソ"),COUNTIF(N$4:N$13,"イブ"))</f>
        <v>0</v>
      </c>
      <c r="O54" s="10">
        <f>SUM(COUNTIF(O$4:O$13,"○"),COUNTIF(O$4:O$13,"〇"),COUNTIF(O$4:O$13,"出"),COUNTIF(O$4:O$13,"早"),COUNTIF(O$4:O$13,"遅"),COUNTIF(O$4:O$13,"E"),COUNTIF(O$4:O$13,"8時"),COUNTIF(O$4:O$13,"ハヤ"),COUNTIF(O$4:O$13,"オソ"),COUNTIF(O$4:O$13,"イブ"))</f>
        <v>0</v>
      </c>
      <c r="P54" s="10">
        <f>SUM(COUNTIF(P$4:P$13,"○"),COUNTIF(P$4:P$13,"〇"),COUNTIF(P$4:P$13,"出"),COUNTIF(P$4:P$13,"早"),COUNTIF(P$4:P$13,"遅"),COUNTIF(P$4:P$13,"E"),COUNTIF(P$4:P$13,"8時"),COUNTIF(P$4:P$13,"ハヤ"),COUNTIF(P$4:P$13,"オソ"),COUNTIF(P$4:P$13,"イブ"))</f>
        <v>0</v>
      </c>
      <c r="Q54" s="10">
        <f>SUM(COUNTIF(Q$4:Q$13,"○"),COUNTIF(Q$4:Q$13,"〇"),COUNTIF(Q$4:Q$13,"出"),COUNTIF(Q$4:Q$13,"早"),COUNTIF(Q$4:Q$13,"遅"),COUNTIF(Q$4:Q$13,"E"),COUNTIF(Q$4:Q$13,"8時"),COUNTIF(Q$4:Q$13,"ハヤ"),COUNTIF(Q$4:Q$13,"オソ"),COUNTIF(Q$4:Q$13,"イブ"))</f>
        <v>0</v>
      </c>
      <c r="R54" s="10">
        <f>SUM(COUNTIF(R$4:R$13,"○"),COUNTIF(R$4:R$13,"〇"),COUNTIF(R$4:R$13,"出"),COUNTIF(R$4:R$13,"早"),COUNTIF(R$4:R$13,"遅"),COUNTIF(R$4:R$13,"E"),COUNTIF(R$4:R$13,"8時"),COUNTIF(R$4:R$13,"ハヤ"),COUNTIF(R$4:R$13,"オソ"),COUNTIF(R$4:R$13,"イブ"))</f>
        <v>0</v>
      </c>
      <c r="S54" s="10">
        <f>SUM(COUNTIF(S$4:S$13,"○"),COUNTIF(S$4:S$13,"〇"),COUNTIF(S$4:S$13,"出"),COUNTIF(S$4:S$13,"早"),COUNTIF(S$4:S$13,"遅"),COUNTIF(S$4:S$13,"E"),COUNTIF(S$4:S$13,"8時"),COUNTIF(S$4:S$13,"ハヤ"),COUNTIF(S$4:S$13,"オソ"),COUNTIF(S$4:S$13,"イブ"))</f>
        <v>0</v>
      </c>
      <c r="T54" s="10">
        <f>SUM(COUNTIF(T$4:T$13,"○"),COUNTIF(T$4:T$13,"〇"),COUNTIF(T$4:T$13,"出"),COUNTIF(T$4:T$13,"早"),COUNTIF(T$4:T$13,"遅"),COUNTIF(T$4:T$13,"E"),COUNTIF(T$4:T$13,"8時"),COUNTIF(T$4:T$13,"ハヤ"),COUNTIF(T$4:T$13,"オソ"),COUNTIF(T$4:T$13,"イブ"))</f>
        <v>0</v>
      </c>
      <c r="U54" s="10">
        <f>SUM(COUNTIF(U$4:U$13,"○"),COUNTIF(U$4:U$13,"〇"),COUNTIF(U$4:U$13,"出"),COUNTIF(U$4:U$13,"早"),COUNTIF(U$4:U$13,"遅"),COUNTIF(U$4:U$13,"E"),COUNTIF(U$4:U$13,"8時"),COUNTIF(U$4:U$13,"ハヤ"),COUNTIF(U$4:U$13,"オソ"),COUNTIF(U$4:U$13,"イブ"))</f>
        <v>0</v>
      </c>
      <c r="V54" s="10">
        <f>SUM(COUNTIF(V$4:V$13,"○"),COUNTIF(V$4:V$13,"〇"),COUNTIF(V$4:V$13,"出"),COUNTIF(V$4:V$13,"早"),COUNTIF(V$4:V$13,"遅"),COUNTIF(V$4:V$13,"E"),COUNTIF(V$4:V$13,"8時"),COUNTIF(V$4:V$13,"ハヤ"),COUNTIF(V$4:V$13,"オソ"),COUNTIF(V$4:V$13,"イブ"))</f>
        <v>0</v>
      </c>
      <c r="W54" s="10">
        <f>SUM(COUNTIF(W$4:W$13,"○"),COUNTIF(W$4:W$13,"〇"),COUNTIF(W$4:W$13,"出"),COUNTIF(W$4:W$13,"早"),COUNTIF(W$4:W$13,"遅"),COUNTIF(W$4:W$13,"E"),COUNTIF(W$4:W$13,"8時"),COUNTIF(W$4:W$13,"ハヤ"),COUNTIF(W$4:W$13,"オソ"),COUNTIF(W$4:W$13,"イブ"))</f>
        <v>0</v>
      </c>
      <c r="X54" s="10">
        <f>SUM(COUNTIF(X$4:X$13,"○"),COUNTIF(X$4:X$13,"〇"),COUNTIF(X$4:X$13,"出"),COUNTIF(X$4:X$13,"早"),COUNTIF(X$4:X$13,"遅"),COUNTIF(X$4:X$13,"E"),COUNTIF(X$4:X$13,"8時"),COUNTIF(X$4:X$13,"ハヤ"),COUNTIF(X$4:X$13,"オソ"),COUNTIF(X$4:X$13,"イブ"))</f>
        <v>0</v>
      </c>
      <c r="Y54" s="10">
        <f>SUM(COUNTIF(Y$4:Y$13,"○"),COUNTIF(Y$4:Y$13,"〇"),COUNTIF(Y$4:Y$13,"出"),COUNTIF(Y$4:Y$13,"早"),COUNTIF(Y$4:Y$13,"遅"),COUNTIF(Y$4:Y$13,"E"),COUNTIF(Y$4:Y$13,"8時"),COUNTIF(Y$4:Y$13,"ハヤ"),COUNTIF(Y$4:Y$13,"オソ"),COUNTIF(Y$4:Y$13,"イブ"))</f>
        <v>0</v>
      </c>
      <c r="Z54" s="10">
        <f>SUM(COUNTIF(Z$4:Z$13,"○"),COUNTIF(Z$4:Z$13,"〇"),COUNTIF(Z$4:Z$13,"出"),COUNTIF(Z$4:Z$13,"早"),COUNTIF(Z$4:Z$13,"遅"),COUNTIF(Z$4:Z$13,"E"),COUNTIF(Z$4:Z$13,"8時"),COUNTIF(Z$4:Z$13,"ハヤ"),COUNTIF(Z$4:Z$13,"オソ"),COUNTIF(Z$4:Z$13,"イブ"))</f>
        <v>0</v>
      </c>
      <c r="AA54" s="10">
        <f>SUM(COUNTIF(AA$4:AA$13,"○"),COUNTIF(AA$4:AA$13,"〇"),COUNTIF(AA$4:AA$13,"出"),COUNTIF(AA$4:AA$13,"早"),COUNTIF(AA$4:AA$13,"遅"),COUNTIF(AA$4:AA$13,"E"),COUNTIF(AA$4:AA$13,"8時"),COUNTIF(AA$4:AA$13,"ハヤ"),COUNTIF(AA$4:AA$13,"オソ"),COUNTIF(AA$4:AA$13,"イブ"))</f>
        <v>0</v>
      </c>
      <c r="AB54" s="10">
        <f>SUM(COUNTIF(AB$4:AB$13,"○"),COUNTIF(AB$4:AB$13,"〇"),COUNTIF(AB$4:AB$13,"出"),COUNTIF(AB$4:AB$13,"早"),COUNTIF(AB$4:AB$13,"遅"),COUNTIF(AB$4:AB$13,"E"),COUNTIF(AB$4:AB$13,"8時"),COUNTIF(AB$4:AB$13,"ハヤ"),COUNTIF(AB$4:AB$13,"オソ"),COUNTIF(AB$4:AB$13,"イブ"))</f>
        <v>0</v>
      </c>
      <c r="AC54" s="10">
        <f>SUM(COUNTIF(AC$4:AC$13,"○"),COUNTIF(AC$4:AC$13,"〇"),COUNTIF(AC$4:AC$13,"出"),COUNTIF(AC$4:AC$13,"早"),COUNTIF(AC$4:AC$13,"遅"),COUNTIF(AC$4:AC$13,"E"),COUNTIF(AC$4:AC$13,"8時"),COUNTIF(AC$4:AC$13,"ハヤ"),COUNTIF(AC$4:AC$13,"オソ"),COUNTIF(AC$4:AC$13,"イブ"))</f>
        <v>0</v>
      </c>
      <c r="AD54" s="10">
        <f>SUM(B54:AC54)</f>
        <v>0</v>
      </c>
      <c r="AE54" s="10" t="inlineStr">
        <is>
          <t>-</t>
        </is>
      </c>
      <c r="AF54" s="10" t="inlineStr">
        <is>
          <t>-</t>
        </is>
      </c>
      <c r="AG54" s="10" t="inlineStr">
        <is>
          <t>-</t>
        </is>
      </c>
      <c r="AH54" s="10" t="inlineStr">
        <is>
          <t>-</t>
        </is>
      </c>
      <c r="AI54" s="10" t="inlineStr">
        <is>
          <t>-</t>
        </is>
      </c>
      <c r="AJ54" s="10" t="inlineStr">
        <is>
          <t>-</t>
        </is>
      </c>
      <c r="AK54" s="10" t="inlineStr">
        <is>
          <t>-</t>
        </is>
      </c>
    </row>
    <row r="55" ht="20" customHeight="1">
      <c r="A55" s="10" t="inlineStr">
        <is>
          <t>OT A 出勤</t>
        </is>
      </c>
      <c r="B55" s="10">
        <f>SUM(COUNTIF(B$14:B$23,"○"),COUNTIF(B$14:B$23,"〇"),COUNTIF(B$14:B$23,"出"),COUNTIF(B$14:B$23,"早"),COUNTIF(B$14:B$23,"遅"),COUNTIF(B$14:B$23,"E"),COUNTIF(B$14:B$23,"8時"),COUNTIF(B$14:B$23,"ハヤ"),COUNTIF(B$14:B$23,"オソ"),COUNTIF(B$14:B$23,"イブ"))</f>
        <v>0</v>
      </c>
      <c r="C55" s="10">
        <f>SUM(COUNTIF(C$14:C$23,"○"),COUNTIF(C$14:C$23,"〇"),COUNTIF(C$14:C$23,"出"),COUNTIF(C$14:C$23,"早"),COUNTIF(C$14:C$23,"遅"),COUNTIF(C$14:C$23,"E"),COUNTIF(C$14:C$23,"8時"),COUNTIF(C$14:C$23,"ハヤ"),COUNTIF(C$14:C$23,"オソ"),COUNTIF(C$14:C$23,"イブ"))</f>
        <v>0</v>
      </c>
      <c r="D55" s="10">
        <f>SUM(COUNTIF(D$14:D$23,"○"),COUNTIF(D$14:D$23,"〇"),COUNTIF(D$14:D$23,"出"),COUNTIF(D$14:D$23,"早"),COUNTIF(D$14:D$23,"遅"),COUNTIF(D$14:D$23,"E"),COUNTIF(D$14:D$23,"8時"),COUNTIF(D$14:D$23,"ハヤ"),COUNTIF(D$14:D$23,"オソ"),COUNTIF(D$14:D$23,"イブ"))</f>
        <v>0</v>
      </c>
      <c r="E55" s="10">
        <f>SUM(COUNTIF(E$14:E$23,"○"),COUNTIF(E$14:E$23,"〇"),COUNTIF(E$14:E$23,"出"),COUNTIF(E$14:E$23,"早"),COUNTIF(E$14:E$23,"遅"),COUNTIF(E$14:E$23,"E"),COUNTIF(E$14:E$23,"8時"),COUNTIF(E$14:E$23,"ハヤ"),COUNTIF(E$14:E$23,"オソ"),COUNTIF(E$14:E$23,"イブ"))</f>
        <v>0</v>
      </c>
      <c r="F55" s="10">
        <f>SUM(COUNTIF(F$14:F$23,"○"),COUNTIF(F$14:F$23,"〇"),COUNTIF(F$14:F$23,"出"),COUNTIF(F$14:F$23,"早"),COUNTIF(F$14:F$23,"遅"),COUNTIF(F$14:F$23,"E"),COUNTIF(F$14:F$23,"8時"),COUNTIF(F$14:F$23,"ハヤ"),COUNTIF(F$14:F$23,"オソ"),COUNTIF(F$14:F$23,"イブ"))</f>
        <v>0</v>
      </c>
      <c r="G55" s="10">
        <f>SUM(COUNTIF(G$14:G$23,"○"),COUNTIF(G$14:G$23,"〇"),COUNTIF(G$14:G$23,"出"),COUNTIF(G$14:G$23,"早"),COUNTIF(G$14:G$23,"遅"),COUNTIF(G$14:G$23,"E"),COUNTIF(G$14:G$23,"8時"),COUNTIF(G$14:G$23,"ハヤ"),COUNTIF(G$14:G$23,"オソ"),COUNTIF(G$14:G$23,"イブ"))</f>
        <v>0</v>
      </c>
      <c r="H55" s="10">
        <f>SUM(COUNTIF(H$14:H$23,"○"),COUNTIF(H$14:H$23,"〇"),COUNTIF(H$14:H$23,"出"),COUNTIF(H$14:H$23,"早"),COUNTIF(H$14:H$23,"遅"),COUNTIF(H$14:H$23,"E"),COUNTIF(H$14:H$23,"8時"),COUNTIF(H$14:H$23,"ハヤ"),COUNTIF(H$14:H$23,"オソ"),COUNTIF(H$14:H$23,"イブ"))</f>
        <v>0</v>
      </c>
      <c r="I55" s="10">
        <f>SUM(COUNTIF(I$14:I$23,"○"),COUNTIF(I$14:I$23,"〇"),COUNTIF(I$14:I$23,"出"),COUNTIF(I$14:I$23,"早"),COUNTIF(I$14:I$23,"遅"),COUNTIF(I$14:I$23,"E"),COUNTIF(I$14:I$23,"8時"),COUNTIF(I$14:I$23,"ハヤ"),COUNTIF(I$14:I$23,"オソ"),COUNTIF(I$14:I$23,"イブ"))</f>
        <v>0</v>
      </c>
      <c r="J55" s="10">
        <f>SUM(COUNTIF(J$14:J$23,"○"),COUNTIF(J$14:J$23,"〇"),COUNTIF(J$14:J$23,"出"),COUNTIF(J$14:J$23,"早"),COUNTIF(J$14:J$23,"遅"),COUNTIF(J$14:J$23,"E"),COUNTIF(J$14:J$23,"8時"),COUNTIF(J$14:J$23,"ハヤ"),COUNTIF(J$14:J$23,"オソ"),COUNTIF(J$14:J$23,"イブ"))</f>
        <v>0</v>
      </c>
      <c r="K55" s="10">
        <f>SUM(COUNTIF(K$14:K$23,"○"),COUNTIF(K$14:K$23,"〇"),COUNTIF(K$14:K$23,"出"),COUNTIF(K$14:K$23,"早"),COUNTIF(K$14:K$23,"遅"),COUNTIF(K$14:K$23,"E"),COUNTIF(K$14:K$23,"8時"),COUNTIF(K$14:K$23,"ハヤ"),COUNTIF(K$14:K$23,"オソ"),COUNTIF(K$14:K$23,"イブ"))</f>
        <v>0</v>
      </c>
      <c r="L55" s="10">
        <f>SUM(COUNTIF(L$14:L$23,"○"),COUNTIF(L$14:L$23,"〇"),COUNTIF(L$14:L$23,"出"),COUNTIF(L$14:L$23,"早"),COUNTIF(L$14:L$23,"遅"),COUNTIF(L$14:L$23,"E"),COUNTIF(L$14:L$23,"8時"),COUNTIF(L$14:L$23,"ハヤ"),COUNTIF(L$14:L$23,"オソ"),COUNTIF(L$14:L$23,"イブ"))</f>
        <v>0</v>
      </c>
      <c r="M55" s="10">
        <f>SUM(COUNTIF(M$14:M$23,"○"),COUNTIF(M$14:M$23,"〇"),COUNTIF(M$14:M$23,"出"),COUNTIF(M$14:M$23,"早"),COUNTIF(M$14:M$23,"遅"),COUNTIF(M$14:M$23,"E"),COUNTIF(M$14:M$23,"8時"),COUNTIF(M$14:M$23,"ハヤ"),COUNTIF(M$14:M$23,"オソ"),COUNTIF(M$14:M$23,"イブ"))</f>
        <v>0</v>
      </c>
      <c r="N55" s="10">
        <f>SUM(COUNTIF(N$14:N$23,"○"),COUNTIF(N$14:N$23,"〇"),COUNTIF(N$14:N$23,"出"),COUNTIF(N$14:N$23,"早"),COUNTIF(N$14:N$23,"遅"),COUNTIF(N$14:N$23,"E"),COUNTIF(N$14:N$23,"8時"),COUNTIF(N$14:N$23,"ハヤ"),COUNTIF(N$14:N$23,"オソ"),COUNTIF(N$14:N$23,"イブ"))</f>
        <v>0</v>
      </c>
      <c r="O55" s="10">
        <f>SUM(COUNTIF(O$14:O$23,"○"),COUNTIF(O$14:O$23,"〇"),COUNTIF(O$14:O$23,"出"),COUNTIF(O$14:O$23,"早"),COUNTIF(O$14:O$23,"遅"),COUNTIF(O$14:O$23,"E"),COUNTIF(O$14:O$23,"8時"),COUNTIF(O$14:O$23,"ハヤ"),COUNTIF(O$14:O$23,"オソ"),COUNTIF(O$14:O$23,"イブ"))</f>
        <v>0</v>
      </c>
      <c r="P55" s="10">
        <f>SUM(COUNTIF(P$14:P$23,"○"),COUNTIF(P$14:P$23,"〇"),COUNTIF(P$14:P$23,"出"),COUNTIF(P$14:P$23,"早"),COUNTIF(P$14:P$23,"遅"),COUNTIF(P$14:P$23,"E"),COUNTIF(P$14:P$23,"8時"),COUNTIF(P$14:P$23,"ハヤ"),COUNTIF(P$14:P$23,"オソ"),COUNTIF(P$14:P$23,"イブ"))</f>
        <v>0</v>
      </c>
      <c r="Q55" s="10">
        <f>SUM(COUNTIF(Q$14:Q$23,"○"),COUNTIF(Q$14:Q$23,"〇"),COUNTIF(Q$14:Q$23,"出"),COUNTIF(Q$14:Q$23,"早"),COUNTIF(Q$14:Q$23,"遅"),COUNTIF(Q$14:Q$23,"E"),COUNTIF(Q$14:Q$23,"8時"),COUNTIF(Q$14:Q$23,"ハヤ"),COUNTIF(Q$14:Q$23,"オソ"),COUNTIF(Q$14:Q$23,"イブ"))</f>
        <v>0</v>
      </c>
      <c r="R55" s="10">
        <f>SUM(COUNTIF(R$14:R$23,"○"),COUNTIF(R$14:R$23,"〇"),COUNTIF(R$14:R$23,"出"),COUNTIF(R$14:R$23,"早"),COUNTIF(R$14:R$23,"遅"),COUNTIF(R$14:R$23,"E"),COUNTIF(R$14:R$23,"8時"),COUNTIF(R$14:R$23,"ハヤ"),COUNTIF(R$14:R$23,"オソ"),COUNTIF(R$14:R$23,"イブ"))</f>
        <v>0</v>
      </c>
      <c r="S55" s="10">
        <f>SUM(COUNTIF(S$14:S$23,"○"),COUNTIF(S$14:S$23,"〇"),COUNTIF(S$14:S$23,"出"),COUNTIF(S$14:S$23,"早"),COUNTIF(S$14:S$23,"遅"),COUNTIF(S$14:S$23,"E"),COUNTIF(S$14:S$23,"8時"),COUNTIF(S$14:S$23,"ハヤ"),COUNTIF(S$14:S$23,"オソ"),COUNTIF(S$14:S$23,"イブ"))</f>
        <v>0</v>
      </c>
      <c r="T55" s="10">
        <f>SUM(COUNTIF(T$14:T$23,"○"),COUNTIF(T$14:T$23,"〇"),COUNTIF(T$14:T$23,"出"),COUNTIF(T$14:T$23,"早"),COUNTIF(T$14:T$23,"遅"),COUNTIF(T$14:T$23,"E"),COUNTIF(T$14:T$23,"8時"),COUNTIF(T$14:T$23,"ハヤ"),COUNTIF(T$14:T$23,"オソ"),COUNTIF(T$14:T$23,"イブ"))</f>
        <v>0</v>
      </c>
      <c r="U55" s="10">
        <f>SUM(COUNTIF(U$14:U$23,"○"),COUNTIF(U$14:U$23,"〇"),COUNTIF(U$14:U$23,"出"),COUNTIF(U$14:U$23,"早"),COUNTIF(U$14:U$23,"遅"),COUNTIF(U$14:U$23,"E"),COUNTIF(U$14:U$23,"8時"),COUNTIF(U$14:U$23,"ハヤ"),COUNTIF(U$14:U$23,"オソ"),COUNTIF(U$14:U$23,"イブ"))</f>
        <v>0</v>
      </c>
      <c r="V55" s="10">
        <f>SUM(COUNTIF(V$14:V$23,"○"),COUNTIF(V$14:V$23,"〇"),COUNTIF(V$14:V$23,"出"),COUNTIF(V$14:V$23,"早"),COUNTIF(V$14:V$23,"遅"),COUNTIF(V$14:V$23,"E"),COUNTIF(V$14:V$23,"8時"),COUNTIF(V$14:V$23,"ハヤ"),COUNTIF(V$14:V$23,"オソ"),COUNTIF(V$14:V$23,"イブ"))</f>
        <v>0</v>
      </c>
      <c r="W55" s="10">
        <f>SUM(COUNTIF(W$14:W$23,"○"),COUNTIF(W$14:W$23,"〇"),COUNTIF(W$14:W$23,"出"),COUNTIF(W$14:W$23,"早"),COUNTIF(W$14:W$23,"遅"),COUNTIF(W$14:W$23,"E"),COUNTIF(W$14:W$23,"8時"),COUNTIF(W$14:W$23,"ハヤ"),COUNTIF(W$14:W$23,"オソ"),COUNTIF(W$14:W$23,"イブ"))</f>
        <v>0</v>
      </c>
      <c r="X55" s="10">
        <f>SUM(COUNTIF(X$14:X$23,"○"),COUNTIF(X$14:X$23,"〇"),COUNTIF(X$14:X$23,"出"),COUNTIF(X$14:X$23,"早"),COUNTIF(X$14:X$23,"遅"),COUNTIF(X$14:X$23,"E"),COUNTIF(X$14:X$23,"8時"),COUNTIF(X$14:X$23,"ハヤ"),COUNTIF(X$14:X$23,"オソ"),COUNTIF(X$14:X$23,"イブ"))</f>
        <v>0</v>
      </c>
      <c r="Y55" s="10">
        <f>SUM(COUNTIF(Y$14:Y$23,"○"),COUNTIF(Y$14:Y$23,"〇"),COUNTIF(Y$14:Y$23,"出"),COUNTIF(Y$14:Y$23,"早"),COUNTIF(Y$14:Y$23,"遅"),COUNTIF(Y$14:Y$23,"E"),COUNTIF(Y$14:Y$23,"8時"),COUNTIF(Y$14:Y$23,"ハヤ"),COUNTIF(Y$14:Y$23,"オソ"),COUNTIF(Y$14:Y$23,"イブ"))</f>
        <v>0</v>
      </c>
      <c r="Z55" s="10">
        <f>SUM(COUNTIF(Z$14:Z$23,"○"),COUNTIF(Z$14:Z$23,"〇"),COUNTIF(Z$14:Z$23,"出"),COUNTIF(Z$14:Z$23,"早"),COUNTIF(Z$14:Z$23,"遅"),COUNTIF(Z$14:Z$23,"E"),COUNTIF(Z$14:Z$23,"8時"),COUNTIF(Z$14:Z$23,"ハヤ"),COUNTIF(Z$14:Z$23,"オソ"),COUNTIF(Z$14:Z$23,"イブ"))</f>
        <v>0</v>
      </c>
      <c r="AA55" s="10">
        <f>SUM(COUNTIF(AA$14:AA$23,"○"),COUNTIF(AA$14:AA$23,"〇"),COUNTIF(AA$14:AA$23,"出"),COUNTIF(AA$14:AA$23,"早"),COUNTIF(AA$14:AA$23,"遅"),COUNTIF(AA$14:AA$23,"E"),COUNTIF(AA$14:AA$23,"8時"),COUNTIF(AA$14:AA$23,"ハヤ"),COUNTIF(AA$14:AA$23,"オソ"),COUNTIF(AA$14:AA$23,"イブ"))</f>
        <v>0</v>
      </c>
      <c r="AB55" s="10">
        <f>SUM(COUNTIF(AB$14:AB$23,"○"),COUNTIF(AB$14:AB$23,"〇"),COUNTIF(AB$14:AB$23,"出"),COUNTIF(AB$14:AB$23,"早"),COUNTIF(AB$14:AB$23,"遅"),COUNTIF(AB$14:AB$23,"E"),COUNTIF(AB$14:AB$23,"8時"),COUNTIF(AB$14:AB$23,"ハヤ"),COUNTIF(AB$14:AB$23,"オソ"),COUNTIF(AB$14:AB$23,"イブ"))</f>
        <v>0</v>
      </c>
      <c r="AC55" s="10">
        <f>SUM(COUNTIF(AC$14:AC$23,"○"),COUNTIF(AC$14:AC$23,"〇"),COUNTIF(AC$14:AC$23,"出"),COUNTIF(AC$14:AC$23,"早"),COUNTIF(AC$14:AC$23,"遅"),COUNTIF(AC$14:AC$23,"E"),COUNTIF(AC$14:AC$23,"8時"),COUNTIF(AC$14:AC$23,"ハヤ"),COUNTIF(AC$14:AC$23,"オソ"),COUNTIF(AC$14:AC$23,"イブ"))</f>
        <v>0</v>
      </c>
      <c r="AD55" s="10">
        <f>SUM(B55:AC55)</f>
        <v>0</v>
      </c>
      <c r="AE55" s="10" t="inlineStr">
        <is>
          <t>-</t>
        </is>
      </c>
      <c r="AF55" s="10" t="inlineStr">
        <is>
          <t>-</t>
        </is>
      </c>
      <c r="AG55" s="10" t="inlineStr">
        <is>
          <t>-</t>
        </is>
      </c>
      <c r="AH55" s="10" t="inlineStr">
        <is>
          <t>-</t>
        </is>
      </c>
      <c r="AI55" s="10" t="inlineStr">
        <is>
          <t>-</t>
        </is>
      </c>
      <c r="AJ55" s="10" t="inlineStr">
        <is>
          <t>-</t>
        </is>
      </c>
      <c r="AK55" s="10" t="inlineStr">
        <is>
          <t>-</t>
        </is>
      </c>
    </row>
    <row r="56" ht="20" customHeight="1">
      <c r="A56" s="11" t="inlineStr">
        <is>
          <t>PT B 出勤</t>
        </is>
      </c>
      <c r="B56" s="11">
        <f>SUM(COUNTIF(B$24:B$33,"○"),COUNTIF(B$24:B$33,"〇"),COUNTIF(B$24:B$33,"出"),COUNTIF(B$24:B$33,"早"),COUNTIF(B$24:B$33,"遅"),COUNTIF(B$24:B$33,"E"),COUNTIF(B$24:B$33,"8時"),COUNTIF(B$24:B$33,"ハヤ"),COUNTIF(B$24:B$33,"オソ"),COUNTIF(B$24:B$33,"イブ"))</f>
        <v>0</v>
      </c>
      <c r="C56" s="11">
        <f>SUM(COUNTIF(C$24:C$33,"○"),COUNTIF(C$24:C$33,"〇"),COUNTIF(C$24:C$33,"出"),COUNTIF(C$24:C$33,"早"),COUNTIF(C$24:C$33,"遅"),COUNTIF(C$24:C$33,"E"),COUNTIF(C$24:C$33,"8時"),COUNTIF(C$24:C$33,"ハヤ"),COUNTIF(C$24:C$33,"オソ"),COUNTIF(C$24:C$33,"イブ"))</f>
        <v>0</v>
      </c>
      <c r="D56" s="11">
        <f>SUM(COUNTIF(D$24:D$33,"○"),COUNTIF(D$24:D$33,"〇"),COUNTIF(D$24:D$33,"出"),COUNTIF(D$24:D$33,"早"),COUNTIF(D$24:D$33,"遅"),COUNTIF(D$24:D$33,"E"),COUNTIF(D$24:D$33,"8時"),COUNTIF(D$24:D$33,"ハヤ"),COUNTIF(D$24:D$33,"オソ"),COUNTIF(D$24:D$33,"イブ"))</f>
        <v>0</v>
      </c>
      <c r="E56" s="11">
        <f>SUM(COUNTIF(E$24:E$33,"○"),COUNTIF(E$24:E$33,"〇"),COUNTIF(E$24:E$33,"出"),COUNTIF(E$24:E$33,"早"),COUNTIF(E$24:E$33,"遅"),COUNTIF(E$24:E$33,"E"),COUNTIF(E$24:E$33,"8時"),COUNTIF(E$24:E$33,"ハヤ"),COUNTIF(E$24:E$33,"オソ"),COUNTIF(E$24:E$33,"イブ"))</f>
        <v>0</v>
      </c>
      <c r="F56" s="11">
        <f>SUM(COUNTIF(F$24:F$33,"○"),COUNTIF(F$24:F$33,"〇"),COUNTIF(F$24:F$33,"出"),COUNTIF(F$24:F$33,"早"),COUNTIF(F$24:F$33,"遅"),COUNTIF(F$24:F$33,"E"),COUNTIF(F$24:F$33,"8時"),COUNTIF(F$24:F$33,"ハヤ"),COUNTIF(F$24:F$33,"オソ"),COUNTIF(F$24:F$33,"イブ"))</f>
        <v>0</v>
      </c>
      <c r="G56" s="11">
        <f>SUM(COUNTIF(G$24:G$33,"○"),COUNTIF(G$24:G$33,"〇"),COUNTIF(G$24:G$33,"出"),COUNTIF(G$24:G$33,"早"),COUNTIF(G$24:G$33,"遅"),COUNTIF(G$24:G$33,"E"),COUNTIF(G$24:G$33,"8時"),COUNTIF(G$24:G$33,"ハヤ"),COUNTIF(G$24:G$33,"オソ"),COUNTIF(G$24:G$33,"イブ"))</f>
        <v>0</v>
      </c>
      <c r="H56" s="11">
        <f>SUM(COUNTIF(H$24:H$33,"○"),COUNTIF(H$24:H$33,"〇"),COUNTIF(H$24:H$33,"出"),COUNTIF(H$24:H$33,"早"),COUNTIF(H$24:H$33,"遅"),COUNTIF(H$24:H$33,"E"),COUNTIF(H$24:H$33,"8時"),COUNTIF(H$24:H$33,"ハヤ"),COUNTIF(H$24:H$33,"オソ"),COUNTIF(H$24:H$33,"イブ"))</f>
        <v>0</v>
      </c>
      <c r="I56" s="11">
        <f>SUM(COUNTIF(I$24:I$33,"○"),COUNTIF(I$24:I$33,"〇"),COUNTIF(I$24:I$33,"出"),COUNTIF(I$24:I$33,"早"),COUNTIF(I$24:I$33,"遅"),COUNTIF(I$24:I$33,"E"),COUNTIF(I$24:I$33,"8時"),COUNTIF(I$24:I$33,"ハヤ"),COUNTIF(I$24:I$33,"オソ"),COUNTIF(I$24:I$33,"イブ"))</f>
        <v>0</v>
      </c>
      <c r="J56" s="11">
        <f>SUM(COUNTIF(J$24:J$33,"○"),COUNTIF(J$24:J$33,"〇"),COUNTIF(J$24:J$33,"出"),COUNTIF(J$24:J$33,"早"),COUNTIF(J$24:J$33,"遅"),COUNTIF(J$24:J$33,"E"),COUNTIF(J$24:J$33,"8時"),COUNTIF(J$24:J$33,"ハヤ"),COUNTIF(J$24:J$33,"オソ"),COUNTIF(J$24:J$33,"イブ"))</f>
        <v>0</v>
      </c>
      <c r="K56" s="11">
        <f>SUM(COUNTIF(K$24:K$33,"○"),COUNTIF(K$24:K$33,"〇"),COUNTIF(K$24:K$33,"出"),COUNTIF(K$24:K$33,"早"),COUNTIF(K$24:K$33,"遅"),COUNTIF(K$24:K$33,"E"),COUNTIF(K$24:K$33,"8時"),COUNTIF(K$24:K$33,"ハヤ"),COUNTIF(K$24:K$33,"オソ"),COUNTIF(K$24:K$33,"イブ"))</f>
        <v>0</v>
      </c>
      <c r="L56" s="11">
        <f>SUM(COUNTIF(L$24:L$33,"○"),COUNTIF(L$24:L$33,"〇"),COUNTIF(L$24:L$33,"出"),COUNTIF(L$24:L$33,"早"),COUNTIF(L$24:L$33,"遅"),COUNTIF(L$24:L$33,"E"),COUNTIF(L$24:L$33,"8時"),COUNTIF(L$24:L$33,"ハヤ"),COUNTIF(L$24:L$33,"オソ"),COUNTIF(L$24:L$33,"イブ"))</f>
        <v>0</v>
      </c>
      <c r="M56" s="11">
        <f>SUM(COUNTIF(M$24:M$33,"○"),COUNTIF(M$24:M$33,"〇"),COUNTIF(M$24:M$33,"出"),COUNTIF(M$24:M$33,"早"),COUNTIF(M$24:M$33,"遅"),COUNTIF(M$24:M$33,"E"),COUNTIF(M$24:M$33,"8時"),COUNTIF(M$24:M$33,"ハヤ"),COUNTIF(M$24:M$33,"オソ"),COUNTIF(M$24:M$33,"イブ"))</f>
        <v>0</v>
      </c>
      <c r="N56" s="11">
        <f>SUM(COUNTIF(N$24:N$33,"○"),COUNTIF(N$24:N$33,"〇"),COUNTIF(N$24:N$33,"出"),COUNTIF(N$24:N$33,"早"),COUNTIF(N$24:N$33,"遅"),COUNTIF(N$24:N$33,"E"),COUNTIF(N$24:N$33,"8時"),COUNTIF(N$24:N$33,"ハヤ"),COUNTIF(N$24:N$33,"オソ"),COUNTIF(N$24:N$33,"イブ"))</f>
        <v>0</v>
      </c>
      <c r="O56" s="11">
        <f>SUM(COUNTIF(O$24:O$33,"○"),COUNTIF(O$24:O$33,"〇"),COUNTIF(O$24:O$33,"出"),COUNTIF(O$24:O$33,"早"),COUNTIF(O$24:O$33,"遅"),COUNTIF(O$24:O$33,"E"),COUNTIF(O$24:O$33,"8時"),COUNTIF(O$24:O$33,"ハヤ"),COUNTIF(O$24:O$33,"オソ"),COUNTIF(O$24:O$33,"イブ"))</f>
        <v>0</v>
      </c>
      <c r="P56" s="11">
        <f>SUM(COUNTIF(P$24:P$33,"○"),COUNTIF(P$24:P$33,"〇"),COUNTIF(P$24:P$33,"出"),COUNTIF(P$24:P$33,"早"),COUNTIF(P$24:P$33,"遅"),COUNTIF(P$24:P$33,"E"),COUNTIF(P$24:P$33,"8時"),COUNTIF(P$24:P$33,"ハヤ"),COUNTIF(P$24:P$33,"オソ"),COUNTIF(P$24:P$33,"イブ"))</f>
        <v>0</v>
      </c>
      <c r="Q56" s="11">
        <f>SUM(COUNTIF(Q$24:Q$33,"○"),COUNTIF(Q$24:Q$33,"〇"),COUNTIF(Q$24:Q$33,"出"),COUNTIF(Q$24:Q$33,"早"),COUNTIF(Q$24:Q$33,"遅"),COUNTIF(Q$24:Q$33,"E"),COUNTIF(Q$24:Q$33,"8時"),COUNTIF(Q$24:Q$33,"ハヤ"),COUNTIF(Q$24:Q$33,"オソ"),COUNTIF(Q$24:Q$33,"イブ"))</f>
        <v>0</v>
      </c>
      <c r="R56" s="11">
        <f>SUM(COUNTIF(R$24:R$33,"○"),COUNTIF(R$24:R$33,"〇"),COUNTIF(R$24:R$33,"出"),COUNTIF(R$24:R$33,"早"),COUNTIF(R$24:R$33,"遅"),COUNTIF(R$24:R$33,"E"),COUNTIF(R$24:R$33,"8時"),COUNTIF(R$24:R$33,"ハヤ"),COUNTIF(R$24:R$33,"オソ"),COUNTIF(R$24:R$33,"イブ"))</f>
        <v>0</v>
      </c>
      <c r="S56" s="11">
        <f>SUM(COUNTIF(S$24:S$33,"○"),COUNTIF(S$24:S$33,"〇"),COUNTIF(S$24:S$33,"出"),COUNTIF(S$24:S$33,"早"),COUNTIF(S$24:S$33,"遅"),COUNTIF(S$24:S$33,"E"),COUNTIF(S$24:S$33,"8時"),COUNTIF(S$24:S$33,"ハヤ"),COUNTIF(S$24:S$33,"オソ"),COUNTIF(S$24:S$33,"イブ"))</f>
        <v>0</v>
      </c>
      <c r="T56" s="11">
        <f>SUM(COUNTIF(T$24:T$33,"○"),COUNTIF(T$24:T$33,"〇"),COUNTIF(T$24:T$33,"出"),COUNTIF(T$24:T$33,"早"),COUNTIF(T$24:T$33,"遅"),COUNTIF(T$24:T$33,"E"),COUNTIF(T$24:T$33,"8時"),COUNTIF(T$24:T$33,"ハヤ"),COUNTIF(T$24:T$33,"オソ"),COUNTIF(T$24:T$33,"イブ"))</f>
        <v>0</v>
      </c>
      <c r="U56" s="11">
        <f>SUM(COUNTIF(U$24:U$33,"○"),COUNTIF(U$24:U$33,"〇"),COUNTIF(U$24:U$33,"出"),COUNTIF(U$24:U$33,"早"),COUNTIF(U$24:U$33,"遅"),COUNTIF(U$24:U$33,"E"),COUNTIF(U$24:U$33,"8時"),COUNTIF(U$24:U$33,"ハヤ"),COUNTIF(U$24:U$33,"オソ"),COUNTIF(U$24:U$33,"イブ"))</f>
        <v>0</v>
      </c>
      <c r="V56" s="11">
        <f>SUM(COUNTIF(V$24:V$33,"○"),COUNTIF(V$24:V$33,"〇"),COUNTIF(V$24:V$33,"出"),COUNTIF(V$24:V$33,"早"),COUNTIF(V$24:V$33,"遅"),COUNTIF(V$24:V$33,"E"),COUNTIF(V$24:V$33,"8時"),COUNTIF(V$24:V$33,"ハヤ"),COUNTIF(V$24:V$33,"オソ"),COUNTIF(V$24:V$33,"イブ"))</f>
        <v>0</v>
      </c>
      <c r="W56" s="11">
        <f>SUM(COUNTIF(W$24:W$33,"○"),COUNTIF(W$24:W$33,"〇"),COUNTIF(W$24:W$33,"出"),COUNTIF(W$24:W$33,"早"),COUNTIF(W$24:W$33,"遅"),COUNTIF(W$24:W$33,"E"),COUNTIF(W$24:W$33,"8時"),COUNTIF(W$24:W$33,"ハヤ"),COUNTIF(W$24:W$33,"オソ"),COUNTIF(W$24:W$33,"イブ"))</f>
        <v>0</v>
      </c>
      <c r="X56" s="11">
        <f>SUM(COUNTIF(X$24:X$33,"○"),COUNTIF(X$24:X$33,"〇"),COUNTIF(X$24:X$33,"出"),COUNTIF(X$24:X$33,"早"),COUNTIF(X$24:X$33,"遅"),COUNTIF(X$24:X$33,"E"),COUNTIF(X$24:X$33,"8時"),COUNTIF(X$24:X$33,"ハヤ"),COUNTIF(X$24:X$33,"オソ"),COUNTIF(X$24:X$33,"イブ"))</f>
        <v>0</v>
      </c>
      <c r="Y56" s="11">
        <f>SUM(COUNTIF(Y$24:Y$33,"○"),COUNTIF(Y$24:Y$33,"〇"),COUNTIF(Y$24:Y$33,"出"),COUNTIF(Y$24:Y$33,"早"),COUNTIF(Y$24:Y$33,"遅"),COUNTIF(Y$24:Y$33,"E"),COUNTIF(Y$24:Y$33,"8時"),COUNTIF(Y$24:Y$33,"ハヤ"),COUNTIF(Y$24:Y$33,"オソ"),COUNTIF(Y$24:Y$33,"イブ"))</f>
        <v>0</v>
      </c>
      <c r="Z56" s="11">
        <f>SUM(COUNTIF(Z$24:Z$33,"○"),COUNTIF(Z$24:Z$33,"〇"),COUNTIF(Z$24:Z$33,"出"),COUNTIF(Z$24:Z$33,"早"),COUNTIF(Z$24:Z$33,"遅"),COUNTIF(Z$24:Z$33,"E"),COUNTIF(Z$24:Z$33,"8時"),COUNTIF(Z$24:Z$33,"ハヤ"),COUNTIF(Z$24:Z$33,"オソ"),COUNTIF(Z$24:Z$33,"イブ"))</f>
        <v>0</v>
      </c>
      <c r="AA56" s="11">
        <f>SUM(COUNTIF(AA$24:AA$33,"○"),COUNTIF(AA$24:AA$33,"〇"),COUNTIF(AA$24:AA$33,"出"),COUNTIF(AA$24:AA$33,"早"),COUNTIF(AA$24:AA$33,"遅"),COUNTIF(AA$24:AA$33,"E"),COUNTIF(AA$24:AA$33,"8時"),COUNTIF(AA$24:AA$33,"ハヤ"),COUNTIF(AA$24:AA$33,"オソ"),COUNTIF(AA$24:AA$33,"イブ"))</f>
        <v>0</v>
      </c>
      <c r="AB56" s="11">
        <f>SUM(COUNTIF(AB$24:AB$33,"○"),COUNTIF(AB$24:AB$33,"〇"),COUNTIF(AB$24:AB$33,"出"),COUNTIF(AB$24:AB$33,"早"),COUNTIF(AB$24:AB$33,"遅"),COUNTIF(AB$24:AB$33,"E"),COUNTIF(AB$24:AB$33,"8時"),COUNTIF(AB$24:AB$33,"ハヤ"),COUNTIF(AB$24:AB$33,"オソ"),COUNTIF(AB$24:AB$33,"イブ"))</f>
        <v>0</v>
      </c>
      <c r="AC56" s="11">
        <f>SUM(COUNTIF(AC$24:AC$33,"○"),COUNTIF(AC$24:AC$33,"〇"),COUNTIF(AC$24:AC$33,"出"),COUNTIF(AC$24:AC$33,"早"),COUNTIF(AC$24:AC$33,"遅"),COUNTIF(AC$24:AC$33,"E"),COUNTIF(AC$24:AC$33,"8時"),COUNTIF(AC$24:AC$33,"ハヤ"),COUNTIF(AC$24:AC$33,"オソ"),COUNTIF(AC$24:AC$33,"イブ"))</f>
        <v>0</v>
      </c>
      <c r="AD56" s="11">
        <f>SUM(B56:AC56)</f>
        <v>0</v>
      </c>
      <c r="AE56" s="11" t="inlineStr">
        <is>
          <t>-</t>
        </is>
      </c>
      <c r="AF56" s="11" t="inlineStr">
        <is>
          <t>-</t>
        </is>
      </c>
      <c r="AG56" s="11" t="inlineStr">
        <is>
          <t>-</t>
        </is>
      </c>
      <c r="AH56" s="11" t="inlineStr">
        <is>
          <t>-</t>
        </is>
      </c>
      <c r="AI56" s="11" t="inlineStr">
        <is>
          <t>-</t>
        </is>
      </c>
      <c r="AJ56" s="11" t="inlineStr">
        <is>
          <t>-</t>
        </is>
      </c>
      <c r="AK56" s="11" t="inlineStr">
        <is>
          <t>-</t>
        </is>
      </c>
    </row>
    <row r="57" ht="20" customHeight="1">
      <c r="A57" s="11" t="inlineStr">
        <is>
          <t>OT B 出勤</t>
        </is>
      </c>
      <c r="B57" s="11">
        <f>SUM(COUNTIF(B$34:B$43,"○"),COUNTIF(B$34:B$43,"〇"),COUNTIF(B$34:B$43,"出"),COUNTIF(B$34:B$43,"早"),COUNTIF(B$34:B$43,"遅"),COUNTIF(B$34:B$43,"E"),COUNTIF(B$34:B$43,"8時"),COUNTIF(B$34:B$43,"ハヤ"),COUNTIF(B$34:B$43,"オソ"),COUNTIF(B$34:B$43,"イブ"))</f>
        <v>0</v>
      </c>
      <c r="C57" s="11">
        <f>SUM(COUNTIF(C$34:C$43,"○"),COUNTIF(C$34:C$43,"〇"),COUNTIF(C$34:C$43,"出"),COUNTIF(C$34:C$43,"早"),COUNTIF(C$34:C$43,"遅"),COUNTIF(C$34:C$43,"E"),COUNTIF(C$34:C$43,"8時"),COUNTIF(C$34:C$43,"ハヤ"),COUNTIF(C$34:C$43,"オソ"),COUNTIF(C$34:C$43,"イブ"))</f>
        <v>0</v>
      </c>
      <c r="D57" s="11">
        <f>SUM(COUNTIF(D$34:D$43,"○"),COUNTIF(D$34:D$43,"〇"),COUNTIF(D$34:D$43,"出"),COUNTIF(D$34:D$43,"早"),COUNTIF(D$34:D$43,"遅"),COUNTIF(D$34:D$43,"E"),COUNTIF(D$34:D$43,"8時"),COUNTIF(D$34:D$43,"ハヤ"),COUNTIF(D$34:D$43,"オソ"),COUNTIF(D$34:D$43,"イブ"))</f>
        <v>0</v>
      </c>
      <c r="E57" s="11">
        <f>SUM(COUNTIF(E$34:E$43,"○"),COUNTIF(E$34:E$43,"〇"),COUNTIF(E$34:E$43,"出"),COUNTIF(E$34:E$43,"早"),COUNTIF(E$34:E$43,"遅"),COUNTIF(E$34:E$43,"E"),COUNTIF(E$34:E$43,"8時"),COUNTIF(E$34:E$43,"ハヤ"),COUNTIF(E$34:E$43,"オソ"),COUNTIF(E$34:E$43,"イブ"))</f>
        <v>0</v>
      </c>
      <c r="F57" s="11">
        <f>SUM(COUNTIF(F$34:F$43,"○"),COUNTIF(F$34:F$43,"〇"),COUNTIF(F$34:F$43,"出"),COUNTIF(F$34:F$43,"早"),COUNTIF(F$34:F$43,"遅"),COUNTIF(F$34:F$43,"E"),COUNTIF(F$34:F$43,"8時"),COUNTIF(F$34:F$43,"ハヤ"),COUNTIF(F$34:F$43,"オソ"),COUNTIF(F$34:F$43,"イブ"))</f>
        <v>0</v>
      </c>
      <c r="G57" s="11">
        <f>SUM(COUNTIF(G$34:G$43,"○"),COUNTIF(G$34:G$43,"〇"),COUNTIF(G$34:G$43,"出"),COUNTIF(G$34:G$43,"早"),COUNTIF(G$34:G$43,"遅"),COUNTIF(G$34:G$43,"E"),COUNTIF(G$34:G$43,"8時"),COUNTIF(G$34:G$43,"ハヤ"),COUNTIF(G$34:G$43,"オソ"),COUNTIF(G$34:G$43,"イブ"))</f>
        <v>0</v>
      </c>
      <c r="H57" s="11">
        <f>SUM(COUNTIF(H$34:H$43,"○"),COUNTIF(H$34:H$43,"〇"),COUNTIF(H$34:H$43,"出"),COUNTIF(H$34:H$43,"早"),COUNTIF(H$34:H$43,"遅"),COUNTIF(H$34:H$43,"E"),COUNTIF(H$34:H$43,"8時"),COUNTIF(H$34:H$43,"ハヤ"),COUNTIF(H$34:H$43,"オソ"),COUNTIF(H$34:H$43,"イブ"))</f>
        <v>0</v>
      </c>
      <c r="I57" s="11">
        <f>SUM(COUNTIF(I$34:I$43,"○"),COUNTIF(I$34:I$43,"〇"),COUNTIF(I$34:I$43,"出"),COUNTIF(I$34:I$43,"早"),COUNTIF(I$34:I$43,"遅"),COUNTIF(I$34:I$43,"E"),COUNTIF(I$34:I$43,"8時"),COUNTIF(I$34:I$43,"ハヤ"),COUNTIF(I$34:I$43,"オソ"),COUNTIF(I$34:I$43,"イブ"))</f>
        <v>0</v>
      </c>
      <c r="J57" s="11">
        <f>SUM(COUNTIF(J$34:J$43,"○"),COUNTIF(J$34:J$43,"〇"),COUNTIF(J$34:J$43,"出"),COUNTIF(J$34:J$43,"早"),COUNTIF(J$34:J$43,"遅"),COUNTIF(J$34:J$43,"E"),COUNTIF(J$34:J$43,"8時"),COUNTIF(J$34:J$43,"ハヤ"),COUNTIF(J$34:J$43,"オソ"),COUNTIF(J$34:J$43,"イブ"))</f>
        <v>0</v>
      </c>
      <c r="K57" s="11">
        <f>SUM(COUNTIF(K$34:K$43,"○"),COUNTIF(K$34:K$43,"〇"),COUNTIF(K$34:K$43,"出"),COUNTIF(K$34:K$43,"早"),COUNTIF(K$34:K$43,"遅"),COUNTIF(K$34:K$43,"E"),COUNTIF(K$34:K$43,"8時"),COUNTIF(K$34:K$43,"ハヤ"),COUNTIF(K$34:K$43,"オソ"),COUNTIF(K$34:K$43,"イブ"))</f>
        <v>0</v>
      </c>
      <c r="L57" s="11">
        <f>SUM(COUNTIF(L$34:L$43,"○"),COUNTIF(L$34:L$43,"〇"),COUNTIF(L$34:L$43,"出"),COUNTIF(L$34:L$43,"早"),COUNTIF(L$34:L$43,"遅"),COUNTIF(L$34:L$43,"E"),COUNTIF(L$34:L$43,"8時"),COUNTIF(L$34:L$43,"ハヤ"),COUNTIF(L$34:L$43,"オソ"),COUNTIF(L$34:L$43,"イブ"))</f>
        <v>0</v>
      </c>
      <c r="M57" s="11">
        <f>SUM(COUNTIF(M$34:M$43,"○"),COUNTIF(M$34:M$43,"〇"),COUNTIF(M$34:M$43,"出"),COUNTIF(M$34:M$43,"早"),COUNTIF(M$34:M$43,"遅"),COUNTIF(M$34:M$43,"E"),COUNTIF(M$34:M$43,"8時"),COUNTIF(M$34:M$43,"ハヤ"),COUNTIF(M$34:M$43,"オソ"),COUNTIF(M$34:M$43,"イブ"))</f>
        <v>0</v>
      </c>
      <c r="N57" s="11">
        <f>SUM(COUNTIF(N$34:N$43,"○"),COUNTIF(N$34:N$43,"〇"),COUNTIF(N$34:N$43,"出"),COUNTIF(N$34:N$43,"早"),COUNTIF(N$34:N$43,"遅"),COUNTIF(N$34:N$43,"E"),COUNTIF(N$34:N$43,"8時"),COUNTIF(N$34:N$43,"ハヤ"),COUNTIF(N$34:N$43,"オソ"),COUNTIF(N$34:N$43,"イブ"))</f>
        <v>0</v>
      </c>
      <c r="O57" s="11">
        <f>SUM(COUNTIF(O$34:O$43,"○"),COUNTIF(O$34:O$43,"〇"),COUNTIF(O$34:O$43,"出"),COUNTIF(O$34:O$43,"早"),COUNTIF(O$34:O$43,"遅"),COUNTIF(O$34:O$43,"E"),COUNTIF(O$34:O$43,"8時"),COUNTIF(O$34:O$43,"ハヤ"),COUNTIF(O$34:O$43,"オソ"),COUNTIF(O$34:O$43,"イブ"))</f>
        <v>0</v>
      </c>
      <c r="P57" s="11">
        <f>SUM(COUNTIF(P$34:P$43,"○"),COUNTIF(P$34:P$43,"〇"),COUNTIF(P$34:P$43,"出"),COUNTIF(P$34:P$43,"早"),COUNTIF(P$34:P$43,"遅"),COUNTIF(P$34:P$43,"E"),COUNTIF(P$34:P$43,"8時"),COUNTIF(P$34:P$43,"ハヤ"),COUNTIF(P$34:P$43,"オソ"),COUNTIF(P$34:P$43,"イブ"))</f>
        <v>0</v>
      </c>
      <c r="Q57" s="11">
        <f>SUM(COUNTIF(Q$34:Q$43,"○"),COUNTIF(Q$34:Q$43,"〇"),COUNTIF(Q$34:Q$43,"出"),COUNTIF(Q$34:Q$43,"早"),COUNTIF(Q$34:Q$43,"遅"),COUNTIF(Q$34:Q$43,"E"),COUNTIF(Q$34:Q$43,"8時"),COUNTIF(Q$34:Q$43,"ハヤ"),COUNTIF(Q$34:Q$43,"オソ"),COUNTIF(Q$34:Q$43,"イブ"))</f>
        <v>0</v>
      </c>
      <c r="R57" s="11">
        <f>SUM(COUNTIF(R$34:R$43,"○"),COUNTIF(R$34:R$43,"〇"),COUNTIF(R$34:R$43,"出"),COUNTIF(R$34:R$43,"早"),COUNTIF(R$34:R$43,"遅"),COUNTIF(R$34:R$43,"E"),COUNTIF(R$34:R$43,"8時"),COUNTIF(R$34:R$43,"ハヤ"),COUNTIF(R$34:R$43,"オソ"),COUNTIF(R$34:R$43,"イブ"))</f>
        <v>0</v>
      </c>
      <c r="S57" s="11">
        <f>SUM(COUNTIF(S$34:S$43,"○"),COUNTIF(S$34:S$43,"〇"),COUNTIF(S$34:S$43,"出"),COUNTIF(S$34:S$43,"早"),COUNTIF(S$34:S$43,"遅"),COUNTIF(S$34:S$43,"E"),COUNTIF(S$34:S$43,"8時"),COUNTIF(S$34:S$43,"ハヤ"),COUNTIF(S$34:S$43,"オソ"),COUNTIF(S$34:S$43,"イブ"))</f>
        <v>0</v>
      </c>
      <c r="T57" s="11">
        <f>SUM(COUNTIF(T$34:T$43,"○"),COUNTIF(T$34:T$43,"〇"),COUNTIF(T$34:T$43,"出"),COUNTIF(T$34:T$43,"早"),COUNTIF(T$34:T$43,"遅"),COUNTIF(T$34:T$43,"E"),COUNTIF(T$34:T$43,"8時"),COUNTIF(T$34:T$43,"ハヤ"),COUNTIF(T$34:T$43,"オソ"),COUNTIF(T$34:T$43,"イブ"))</f>
        <v>0</v>
      </c>
      <c r="U57" s="11">
        <f>SUM(COUNTIF(U$34:U$43,"○"),COUNTIF(U$34:U$43,"〇"),COUNTIF(U$34:U$43,"出"),COUNTIF(U$34:U$43,"早"),COUNTIF(U$34:U$43,"遅"),COUNTIF(U$34:U$43,"E"),COUNTIF(U$34:U$43,"8時"),COUNTIF(U$34:U$43,"ハヤ"),COUNTIF(U$34:U$43,"オソ"),COUNTIF(U$34:U$43,"イブ"))</f>
        <v>0</v>
      </c>
      <c r="V57" s="11">
        <f>SUM(COUNTIF(V$34:V$43,"○"),COUNTIF(V$34:V$43,"〇"),COUNTIF(V$34:V$43,"出"),COUNTIF(V$34:V$43,"早"),COUNTIF(V$34:V$43,"遅"),COUNTIF(V$34:V$43,"E"),COUNTIF(V$34:V$43,"8時"),COUNTIF(V$34:V$43,"ハヤ"),COUNTIF(V$34:V$43,"オソ"),COUNTIF(V$34:V$43,"イブ"))</f>
        <v>0</v>
      </c>
      <c r="W57" s="11">
        <f>SUM(COUNTIF(W$34:W$43,"○"),COUNTIF(W$34:W$43,"〇"),COUNTIF(W$34:W$43,"出"),COUNTIF(W$34:W$43,"早"),COUNTIF(W$34:W$43,"遅"),COUNTIF(W$34:W$43,"E"),COUNTIF(W$34:W$43,"8時"),COUNTIF(W$34:W$43,"ハヤ"),COUNTIF(W$34:W$43,"オソ"),COUNTIF(W$34:W$43,"イブ"))</f>
        <v>0</v>
      </c>
      <c r="X57" s="11">
        <f>SUM(COUNTIF(X$34:X$43,"○"),COUNTIF(X$34:X$43,"〇"),COUNTIF(X$34:X$43,"出"),COUNTIF(X$34:X$43,"早"),COUNTIF(X$34:X$43,"遅"),COUNTIF(X$34:X$43,"E"),COUNTIF(X$34:X$43,"8時"),COUNTIF(X$34:X$43,"ハヤ"),COUNTIF(X$34:X$43,"オソ"),COUNTIF(X$34:X$43,"イブ"))</f>
        <v>0</v>
      </c>
      <c r="Y57" s="11">
        <f>SUM(COUNTIF(Y$34:Y$43,"○"),COUNTIF(Y$34:Y$43,"〇"),COUNTIF(Y$34:Y$43,"出"),COUNTIF(Y$34:Y$43,"早"),COUNTIF(Y$34:Y$43,"遅"),COUNTIF(Y$34:Y$43,"E"),COUNTIF(Y$34:Y$43,"8時"),COUNTIF(Y$34:Y$43,"ハヤ"),COUNTIF(Y$34:Y$43,"オソ"),COUNTIF(Y$34:Y$43,"イブ"))</f>
        <v>0</v>
      </c>
      <c r="Z57" s="11">
        <f>SUM(COUNTIF(Z$34:Z$43,"○"),COUNTIF(Z$34:Z$43,"〇"),COUNTIF(Z$34:Z$43,"出"),COUNTIF(Z$34:Z$43,"早"),COUNTIF(Z$34:Z$43,"遅"),COUNTIF(Z$34:Z$43,"E"),COUNTIF(Z$34:Z$43,"8時"),COUNTIF(Z$34:Z$43,"ハヤ"),COUNTIF(Z$34:Z$43,"オソ"),COUNTIF(Z$34:Z$43,"イブ"))</f>
        <v>0</v>
      </c>
      <c r="AA57" s="11">
        <f>SUM(COUNTIF(AA$34:AA$43,"○"),COUNTIF(AA$34:AA$43,"〇"),COUNTIF(AA$34:AA$43,"出"),COUNTIF(AA$34:AA$43,"早"),COUNTIF(AA$34:AA$43,"遅"),COUNTIF(AA$34:AA$43,"E"),COUNTIF(AA$34:AA$43,"8時"),COUNTIF(AA$34:AA$43,"ハヤ"),COUNTIF(AA$34:AA$43,"オソ"),COUNTIF(AA$34:AA$43,"イブ"))</f>
        <v>0</v>
      </c>
      <c r="AB57" s="11">
        <f>SUM(COUNTIF(AB$34:AB$43,"○"),COUNTIF(AB$34:AB$43,"〇"),COUNTIF(AB$34:AB$43,"出"),COUNTIF(AB$34:AB$43,"早"),COUNTIF(AB$34:AB$43,"遅"),COUNTIF(AB$34:AB$43,"E"),COUNTIF(AB$34:AB$43,"8時"),COUNTIF(AB$34:AB$43,"ハヤ"),COUNTIF(AB$34:AB$43,"オソ"),COUNTIF(AB$34:AB$43,"イブ"))</f>
        <v>0</v>
      </c>
      <c r="AC57" s="11">
        <f>SUM(COUNTIF(AC$34:AC$43,"○"),COUNTIF(AC$34:AC$43,"〇"),COUNTIF(AC$34:AC$43,"出"),COUNTIF(AC$34:AC$43,"早"),COUNTIF(AC$34:AC$43,"遅"),COUNTIF(AC$34:AC$43,"E"),COUNTIF(AC$34:AC$43,"8時"),COUNTIF(AC$34:AC$43,"ハヤ"),COUNTIF(AC$34:AC$43,"オソ"),COUNTIF(AC$34:AC$43,"イブ"))</f>
        <v>0</v>
      </c>
      <c r="AD57" s="11">
        <f>SUM(B57:AC57)</f>
        <v>0</v>
      </c>
      <c r="AE57" s="11" t="inlineStr">
        <is>
          <t>-</t>
        </is>
      </c>
      <c r="AF57" s="11" t="inlineStr">
        <is>
          <t>-</t>
        </is>
      </c>
      <c r="AG57" s="11" t="inlineStr">
        <is>
          <t>-</t>
        </is>
      </c>
      <c r="AH57" s="11" t="inlineStr">
        <is>
          <t>-</t>
        </is>
      </c>
      <c r="AI57" s="11" t="inlineStr">
        <is>
          <t>-</t>
        </is>
      </c>
      <c r="AJ57" s="11" t="inlineStr">
        <is>
          <t>-</t>
        </is>
      </c>
      <c r="AK57" s="11" t="inlineStr">
        <is>
          <t>-</t>
        </is>
      </c>
    </row>
    <row r="58" ht="20" customHeight="1">
      <c r="A58" s="12" t="inlineStr">
        <is>
          <t>ST 出勤</t>
        </is>
      </c>
      <c r="B58" s="12">
        <f>SUM(COUNTIF(B$44:B$51,"○"),COUNTIF(B$44:B$51,"〇"),COUNTIF(B$44:B$51,"出"),COUNTIF(B$44:B$51,"早"),COUNTIF(B$44:B$51,"遅"),COUNTIF(B$44:B$51,"E"),COUNTIF(B$44:B$51,"8時"),COUNTIF(B$44:B$51,"ハヤ"),COUNTIF(B$44:B$51,"オソ"),COUNTIF(B$44:B$51,"イブ"))</f>
        <v>0</v>
      </c>
      <c r="C58" s="12">
        <f>SUM(COUNTIF(C$44:C$51,"○"),COUNTIF(C$44:C$51,"〇"),COUNTIF(C$44:C$51,"出"),COUNTIF(C$44:C$51,"早"),COUNTIF(C$44:C$51,"遅"),COUNTIF(C$44:C$51,"E"),COUNTIF(C$44:C$51,"8時"),COUNTIF(C$44:C$51,"ハヤ"),COUNTIF(C$44:C$51,"オソ"),COUNTIF(C$44:C$51,"イブ"))</f>
        <v>0</v>
      </c>
      <c r="D58" s="12">
        <f>SUM(COUNTIF(D$44:D$51,"○"),COUNTIF(D$44:D$51,"〇"),COUNTIF(D$44:D$51,"出"),COUNTIF(D$44:D$51,"早"),COUNTIF(D$44:D$51,"遅"),COUNTIF(D$44:D$51,"E"),COUNTIF(D$44:D$51,"8時"),COUNTIF(D$44:D$51,"ハヤ"),COUNTIF(D$44:D$51,"オソ"),COUNTIF(D$44:D$51,"イブ"))</f>
        <v>0</v>
      </c>
      <c r="E58" s="12">
        <f>SUM(COUNTIF(E$44:E$51,"○"),COUNTIF(E$44:E$51,"〇"),COUNTIF(E$44:E$51,"出"),COUNTIF(E$44:E$51,"早"),COUNTIF(E$44:E$51,"遅"),COUNTIF(E$44:E$51,"E"),COUNTIF(E$44:E$51,"8時"),COUNTIF(E$44:E$51,"ハヤ"),COUNTIF(E$44:E$51,"オソ"),COUNTIF(E$44:E$51,"イブ"))</f>
        <v>0</v>
      </c>
      <c r="F58" s="12">
        <f>SUM(COUNTIF(F$44:F$51,"○"),COUNTIF(F$44:F$51,"〇"),COUNTIF(F$44:F$51,"出"),COUNTIF(F$44:F$51,"早"),COUNTIF(F$44:F$51,"遅"),COUNTIF(F$44:F$51,"E"),COUNTIF(F$44:F$51,"8時"),COUNTIF(F$44:F$51,"ハヤ"),COUNTIF(F$44:F$51,"オソ"),COUNTIF(F$44:F$51,"イブ"))</f>
        <v>0</v>
      </c>
      <c r="G58" s="12">
        <f>SUM(COUNTIF(G$44:G$51,"○"),COUNTIF(G$44:G$51,"〇"),COUNTIF(G$44:G$51,"出"),COUNTIF(G$44:G$51,"早"),COUNTIF(G$44:G$51,"遅"),COUNTIF(G$44:G$51,"E"),COUNTIF(G$44:G$51,"8時"),COUNTIF(G$44:G$51,"ハヤ"),COUNTIF(G$44:G$51,"オソ"),COUNTIF(G$44:G$51,"イブ"))</f>
        <v>0</v>
      </c>
      <c r="H58" s="12">
        <f>SUM(COUNTIF(H$44:H$51,"○"),COUNTIF(H$44:H$51,"〇"),COUNTIF(H$44:H$51,"出"),COUNTIF(H$44:H$51,"早"),COUNTIF(H$44:H$51,"遅"),COUNTIF(H$44:H$51,"E"),COUNTIF(H$44:H$51,"8時"),COUNTIF(H$44:H$51,"ハヤ"),COUNTIF(H$44:H$51,"オソ"),COUNTIF(H$44:H$51,"イブ"))</f>
        <v>0</v>
      </c>
      <c r="I58" s="12">
        <f>SUM(COUNTIF(I$44:I$51,"○"),COUNTIF(I$44:I$51,"〇"),COUNTIF(I$44:I$51,"出"),COUNTIF(I$44:I$51,"早"),COUNTIF(I$44:I$51,"遅"),COUNTIF(I$44:I$51,"E"),COUNTIF(I$44:I$51,"8時"),COUNTIF(I$44:I$51,"ハヤ"),COUNTIF(I$44:I$51,"オソ"),COUNTIF(I$44:I$51,"イブ"))</f>
        <v>0</v>
      </c>
      <c r="J58" s="12">
        <f>SUM(COUNTIF(J$44:J$51,"○"),COUNTIF(J$44:J$51,"〇"),COUNTIF(J$44:J$51,"出"),COUNTIF(J$44:J$51,"早"),COUNTIF(J$44:J$51,"遅"),COUNTIF(J$44:J$51,"E"),COUNTIF(J$44:J$51,"8時"),COUNTIF(J$44:J$51,"ハヤ"),COUNTIF(J$44:J$51,"オソ"),COUNTIF(J$44:J$51,"イブ"))</f>
        <v>0</v>
      </c>
      <c r="K58" s="12">
        <f>SUM(COUNTIF(K$44:K$51,"○"),COUNTIF(K$44:K$51,"〇"),COUNTIF(K$44:K$51,"出"),COUNTIF(K$44:K$51,"早"),COUNTIF(K$44:K$51,"遅"),COUNTIF(K$44:K$51,"E"),COUNTIF(K$44:K$51,"8時"),COUNTIF(K$44:K$51,"ハヤ"),COUNTIF(K$44:K$51,"オソ"),COUNTIF(K$44:K$51,"イブ"))</f>
        <v>0</v>
      </c>
      <c r="L58" s="12">
        <f>SUM(COUNTIF(L$44:L$51,"○"),COUNTIF(L$44:L$51,"〇"),COUNTIF(L$44:L$51,"出"),COUNTIF(L$44:L$51,"早"),COUNTIF(L$44:L$51,"遅"),COUNTIF(L$44:L$51,"E"),COUNTIF(L$44:L$51,"8時"),COUNTIF(L$44:L$51,"ハヤ"),COUNTIF(L$44:L$51,"オソ"),COUNTIF(L$44:L$51,"イブ"))</f>
        <v>0</v>
      </c>
      <c r="M58" s="12">
        <f>SUM(COUNTIF(M$44:M$51,"○"),COUNTIF(M$44:M$51,"〇"),COUNTIF(M$44:M$51,"出"),COUNTIF(M$44:M$51,"早"),COUNTIF(M$44:M$51,"遅"),COUNTIF(M$44:M$51,"E"),COUNTIF(M$44:M$51,"8時"),COUNTIF(M$44:M$51,"ハヤ"),COUNTIF(M$44:M$51,"オソ"),COUNTIF(M$44:M$51,"イブ"))</f>
        <v>0</v>
      </c>
      <c r="N58" s="12">
        <f>SUM(COUNTIF(N$44:N$51,"○"),COUNTIF(N$44:N$51,"〇"),COUNTIF(N$44:N$51,"出"),COUNTIF(N$44:N$51,"早"),COUNTIF(N$44:N$51,"遅"),COUNTIF(N$44:N$51,"E"),COUNTIF(N$44:N$51,"8時"),COUNTIF(N$44:N$51,"ハヤ"),COUNTIF(N$44:N$51,"オソ"),COUNTIF(N$44:N$51,"イブ"))</f>
        <v>0</v>
      </c>
      <c r="O58" s="12">
        <f>SUM(COUNTIF(O$44:O$51,"○"),COUNTIF(O$44:O$51,"〇"),COUNTIF(O$44:O$51,"出"),COUNTIF(O$44:O$51,"早"),COUNTIF(O$44:O$51,"遅"),COUNTIF(O$44:O$51,"E"),COUNTIF(O$44:O$51,"8時"),COUNTIF(O$44:O$51,"ハヤ"),COUNTIF(O$44:O$51,"オソ"),COUNTIF(O$44:O$51,"イブ"))</f>
        <v>0</v>
      </c>
      <c r="P58" s="12">
        <f>SUM(COUNTIF(P$44:P$51,"○"),COUNTIF(P$44:P$51,"〇"),COUNTIF(P$44:P$51,"出"),COUNTIF(P$44:P$51,"早"),COUNTIF(P$44:P$51,"遅"),COUNTIF(P$44:P$51,"E"),COUNTIF(P$44:P$51,"8時"),COUNTIF(P$44:P$51,"ハヤ"),COUNTIF(P$44:P$51,"オソ"),COUNTIF(P$44:P$51,"イブ"))</f>
        <v>0</v>
      </c>
      <c r="Q58" s="12">
        <f>SUM(COUNTIF(Q$44:Q$51,"○"),COUNTIF(Q$44:Q$51,"〇"),COUNTIF(Q$44:Q$51,"出"),COUNTIF(Q$44:Q$51,"早"),COUNTIF(Q$44:Q$51,"遅"),COUNTIF(Q$44:Q$51,"E"),COUNTIF(Q$44:Q$51,"8時"),COUNTIF(Q$44:Q$51,"ハヤ"),COUNTIF(Q$44:Q$51,"オソ"),COUNTIF(Q$44:Q$51,"イブ"))</f>
        <v>0</v>
      </c>
      <c r="R58" s="12">
        <f>SUM(COUNTIF(R$44:R$51,"○"),COUNTIF(R$44:R$51,"〇"),COUNTIF(R$44:R$51,"出"),COUNTIF(R$44:R$51,"早"),COUNTIF(R$44:R$51,"遅"),COUNTIF(R$44:R$51,"E"),COUNTIF(R$44:R$51,"8時"),COUNTIF(R$44:R$51,"ハヤ"),COUNTIF(R$44:R$51,"オソ"),COUNTIF(R$44:R$51,"イブ"))</f>
        <v>0</v>
      </c>
      <c r="S58" s="12">
        <f>SUM(COUNTIF(S$44:S$51,"○"),COUNTIF(S$44:S$51,"〇"),COUNTIF(S$44:S$51,"出"),COUNTIF(S$44:S$51,"早"),COUNTIF(S$44:S$51,"遅"),COUNTIF(S$44:S$51,"E"),COUNTIF(S$44:S$51,"8時"),COUNTIF(S$44:S$51,"ハヤ"),COUNTIF(S$44:S$51,"オソ"),COUNTIF(S$44:S$51,"イブ"))</f>
        <v>0</v>
      </c>
      <c r="T58" s="12">
        <f>SUM(COUNTIF(T$44:T$51,"○"),COUNTIF(T$44:T$51,"〇"),COUNTIF(T$44:T$51,"出"),COUNTIF(T$44:T$51,"早"),COUNTIF(T$44:T$51,"遅"),COUNTIF(T$44:T$51,"E"),COUNTIF(T$44:T$51,"8時"),COUNTIF(T$44:T$51,"ハヤ"),COUNTIF(T$44:T$51,"オソ"),COUNTIF(T$44:T$51,"イブ"))</f>
        <v>0</v>
      </c>
      <c r="U58" s="12">
        <f>SUM(COUNTIF(U$44:U$51,"○"),COUNTIF(U$44:U$51,"〇"),COUNTIF(U$44:U$51,"出"),COUNTIF(U$44:U$51,"早"),COUNTIF(U$44:U$51,"遅"),COUNTIF(U$44:U$51,"E"),COUNTIF(U$44:U$51,"8時"),COUNTIF(U$44:U$51,"ハヤ"),COUNTIF(U$44:U$51,"オソ"),COUNTIF(U$44:U$51,"イブ"))</f>
        <v>0</v>
      </c>
      <c r="V58" s="12">
        <f>SUM(COUNTIF(V$44:V$51,"○"),COUNTIF(V$44:V$51,"〇"),COUNTIF(V$44:V$51,"出"),COUNTIF(V$44:V$51,"早"),COUNTIF(V$44:V$51,"遅"),COUNTIF(V$44:V$51,"E"),COUNTIF(V$44:V$51,"8時"),COUNTIF(V$44:V$51,"ハヤ"),COUNTIF(V$44:V$51,"オソ"),COUNTIF(V$44:V$51,"イブ"))</f>
        <v>0</v>
      </c>
      <c r="W58" s="12">
        <f>SUM(COUNTIF(W$44:W$51,"○"),COUNTIF(W$44:W$51,"〇"),COUNTIF(W$44:W$51,"出"),COUNTIF(W$44:W$51,"早"),COUNTIF(W$44:W$51,"遅"),COUNTIF(W$44:W$51,"E"),COUNTIF(W$44:W$51,"8時"),COUNTIF(W$44:W$51,"ハヤ"),COUNTIF(W$44:W$51,"オソ"),COUNTIF(W$44:W$51,"イブ"))</f>
        <v>0</v>
      </c>
      <c r="X58" s="12">
        <f>SUM(COUNTIF(X$44:X$51,"○"),COUNTIF(X$44:X$51,"〇"),COUNTIF(X$44:X$51,"出"),COUNTIF(X$44:X$51,"早"),COUNTIF(X$44:X$51,"遅"),COUNTIF(X$44:X$51,"E"),COUNTIF(X$44:X$51,"8時"),COUNTIF(X$44:X$51,"ハヤ"),COUNTIF(X$44:X$51,"オソ"),COUNTIF(X$44:X$51,"イブ"))</f>
        <v>0</v>
      </c>
      <c r="Y58" s="12">
        <f>SUM(COUNTIF(Y$44:Y$51,"○"),COUNTIF(Y$44:Y$51,"〇"),COUNTIF(Y$44:Y$51,"出"),COUNTIF(Y$44:Y$51,"早"),COUNTIF(Y$44:Y$51,"遅"),COUNTIF(Y$44:Y$51,"E"),COUNTIF(Y$44:Y$51,"8時"),COUNTIF(Y$44:Y$51,"ハヤ"),COUNTIF(Y$44:Y$51,"オソ"),COUNTIF(Y$44:Y$51,"イブ"))</f>
        <v>0</v>
      </c>
      <c r="Z58" s="12">
        <f>SUM(COUNTIF(Z$44:Z$51,"○"),COUNTIF(Z$44:Z$51,"〇"),COUNTIF(Z$44:Z$51,"出"),COUNTIF(Z$44:Z$51,"早"),COUNTIF(Z$44:Z$51,"遅"),COUNTIF(Z$44:Z$51,"E"),COUNTIF(Z$44:Z$51,"8時"),COUNTIF(Z$44:Z$51,"ハヤ"),COUNTIF(Z$44:Z$51,"オソ"),COUNTIF(Z$44:Z$51,"イブ"))</f>
        <v>0</v>
      </c>
      <c r="AA58" s="12">
        <f>SUM(COUNTIF(AA$44:AA$51,"○"),COUNTIF(AA$44:AA$51,"〇"),COUNTIF(AA$44:AA$51,"出"),COUNTIF(AA$44:AA$51,"早"),COUNTIF(AA$44:AA$51,"遅"),COUNTIF(AA$44:AA$51,"E"),COUNTIF(AA$44:AA$51,"8時"),COUNTIF(AA$44:AA$51,"ハヤ"),COUNTIF(AA$44:AA$51,"オソ"),COUNTIF(AA$44:AA$51,"イブ"))</f>
        <v>0</v>
      </c>
      <c r="AB58" s="12">
        <f>SUM(COUNTIF(AB$44:AB$51,"○"),COUNTIF(AB$44:AB$51,"〇"),COUNTIF(AB$44:AB$51,"出"),COUNTIF(AB$44:AB$51,"早"),COUNTIF(AB$44:AB$51,"遅"),COUNTIF(AB$44:AB$51,"E"),COUNTIF(AB$44:AB$51,"8時"),COUNTIF(AB$44:AB$51,"ハヤ"),COUNTIF(AB$44:AB$51,"オソ"),COUNTIF(AB$44:AB$51,"イブ"))</f>
        <v>0</v>
      </c>
      <c r="AC58" s="12">
        <f>SUM(COUNTIF(AC$44:AC$51,"○"),COUNTIF(AC$44:AC$51,"〇"),COUNTIF(AC$44:AC$51,"出"),COUNTIF(AC$44:AC$51,"早"),COUNTIF(AC$44:AC$51,"遅"),COUNTIF(AC$44:AC$51,"E"),COUNTIF(AC$44:AC$51,"8時"),COUNTIF(AC$44:AC$51,"ハヤ"),COUNTIF(AC$44:AC$51,"オソ"),COUNTIF(AC$44:AC$51,"イブ"))</f>
        <v>0</v>
      </c>
      <c r="AD58" s="12">
        <f>SUM(B58:AC58)</f>
        <v>0</v>
      </c>
      <c r="AE58" s="12" t="inlineStr">
        <is>
          <t>-</t>
        </is>
      </c>
      <c r="AF58" s="12" t="inlineStr">
        <is>
          <t>-</t>
        </is>
      </c>
      <c r="AG58" s="12" t="inlineStr">
        <is>
          <t>-</t>
        </is>
      </c>
      <c r="AH58" s="12" t="inlineStr">
        <is>
          <t>-</t>
        </is>
      </c>
      <c r="AI58" s="12" t="inlineStr">
        <is>
          <t>-</t>
        </is>
      </c>
      <c r="AJ58" s="12" t="inlineStr">
        <is>
          <t>-</t>
        </is>
      </c>
      <c r="AK58" s="12" t="inlineStr">
        <is>
          <t>-</t>
        </is>
      </c>
    </row>
    <row r="59" ht="20" customHeight="1">
      <c r="A59" s="13" t="inlineStr">
        <is>
          <t>早番</t>
        </is>
      </c>
      <c r="B59" s="13">
        <f>COUNTIF(B$4:B$51,"早")+COUNTIF(B$4:B$51,"ハヤ")</f>
        <v>0</v>
      </c>
      <c r="C59" s="13">
        <f>COUNTIF(C$4:C$51,"早")+COUNTIF(C$4:C$51,"ハヤ")</f>
        <v>0</v>
      </c>
      <c r="D59" s="13">
        <f>COUNTIF(D$4:D$51,"早")+COUNTIF(D$4:D$51,"ハヤ")</f>
        <v>0</v>
      </c>
      <c r="E59" s="13">
        <f>COUNTIF(E$4:E$51,"早")+COUNTIF(E$4:E$51,"ハヤ")</f>
        <v>0</v>
      </c>
      <c r="F59" s="13">
        <f>COUNTIF(F$4:F$51,"早")+COUNTIF(F$4:F$51,"ハヤ")</f>
        <v>0</v>
      </c>
      <c r="G59" s="13">
        <f>COUNTIF(G$4:G$51,"早")+COUNTIF(G$4:G$51,"ハヤ")</f>
        <v>0</v>
      </c>
      <c r="H59" s="13">
        <f>COUNTIF(H$4:H$51,"早")+COUNTIF(H$4:H$51,"ハヤ")</f>
        <v>0</v>
      </c>
      <c r="I59" s="13">
        <f>COUNTIF(I$4:I$51,"早")+COUNTIF(I$4:I$51,"ハヤ")</f>
        <v>0</v>
      </c>
      <c r="J59" s="13">
        <f>COUNTIF(J$4:J$51,"早")+COUNTIF(J$4:J$51,"ハヤ")</f>
        <v>0</v>
      </c>
      <c r="K59" s="13">
        <f>COUNTIF(K$4:K$51,"早")+COUNTIF(K$4:K$51,"ハヤ")</f>
        <v>0</v>
      </c>
      <c r="L59" s="13">
        <f>COUNTIF(L$4:L$51,"早")+COUNTIF(L$4:L$51,"ハヤ")</f>
        <v>0</v>
      </c>
      <c r="M59" s="13">
        <f>COUNTIF(M$4:M$51,"早")+COUNTIF(M$4:M$51,"ハヤ")</f>
        <v>0</v>
      </c>
      <c r="N59" s="13">
        <f>COUNTIF(N$4:N$51,"早")+COUNTIF(N$4:N$51,"ハヤ")</f>
        <v>0</v>
      </c>
      <c r="O59" s="13">
        <f>COUNTIF(O$4:O$51,"早")+COUNTIF(O$4:O$51,"ハヤ")</f>
        <v>0</v>
      </c>
      <c r="P59" s="13">
        <f>COUNTIF(P$4:P$51,"早")+COUNTIF(P$4:P$51,"ハヤ")</f>
        <v>0</v>
      </c>
      <c r="Q59" s="13">
        <f>COUNTIF(Q$4:Q$51,"早")+COUNTIF(Q$4:Q$51,"ハヤ")</f>
        <v>0</v>
      </c>
      <c r="R59" s="13">
        <f>COUNTIF(R$4:R$51,"早")+COUNTIF(R$4:R$51,"ハヤ")</f>
        <v>0</v>
      </c>
      <c r="S59" s="13">
        <f>COUNTIF(S$4:S$51,"早")+COUNTIF(S$4:S$51,"ハヤ")</f>
        <v>0</v>
      </c>
      <c r="T59" s="13">
        <f>COUNTIF(T$4:T$51,"早")+COUNTIF(T$4:T$51,"ハヤ")</f>
        <v>0</v>
      </c>
      <c r="U59" s="13">
        <f>COUNTIF(U$4:U$51,"早")+COUNTIF(U$4:U$51,"ハヤ")</f>
        <v>0</v>
      </c>
      <c r="V59" s="13">
        <f>COUNTIF(V$4:V$51,"早")+COUNTIF(V$4:V$51,"ハヤ")</f>
        <v>0</v>
      </c>
      <c r="W59" s="13">
        <f>COUNTIF(W$4:W$51,"早")+COUNTIF(W$4:W$51,"ハヤ")</f>
        <v>0</v>
      </c>
      <c r="X59" s="13">
        <f>COUNTIF(X$4:X$51,"早")+COUNTIF(X$4:X$51,"ハヤ")</f>
        <v>0</v>
      </c>
      <c r="Y59" s="13">
        <f>COUNTIF(Y$4:Y$51,"早")+COUNTIF(Y$4:Y$51,"ハヤ")</f>
        <v>0</v>
      </c>
      <c r="Z59" s="13">
        <f>COUNTIF(Z$4:Z$51,"早")+COUNTIF(Z$4:Z$51,"ハヤ")</f>
        <v>0</v>
      </c>
      <c r="AA59" s="13">
        <f>COUNTIF(AA$4:AA$51,"早")+COUNTIF(AA$4:AA$51,"ハヤ")</f>
        <v>0</v>
      </c>
      <c r="AB59" s="13">
        <f>COUNTIF(AB$4:AB$51,"早")+COUNTIF(AB$4:AB$51,"ハヤ")</f>
        <v>0</v>
      </c>
      <c r="AC59" s="13">
        <f>COUNTIF(AC$4:AC$51,"早")+COUNTIF(AC$4:AC$51,"ハヤ")</f>
        <v>0</v>
      </c>
      <c r="AD59" s="13">
        <f>SUM(B59:AC59)</f>
        <v>0</v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-</t>
        </is>
      </c>
      <c r="AI59" s="13" t="inlineStr">
        <is>
          <t>-</t>
        </is>
      </c>
      <c r="AJ59" s="13" t="inlineStr">
        <is>
          <t>-</t>
        </is>
      </c>
      <c r="AK59" s="13" t="inlineStr">
        <is>
          <t>-</t>
        </is>
      </c>
    </row>
    <row r="60" ht="20" customHeight="1">
      <c r="A60" s="13" t="inlineStr">
        <is>
          <t>遅番</t>
        </is>
      </c>
      <c r="B60" s="13">
        <f>COUNTIF(B$4:B$51,"遅")+COUNTIF(B$4:B$51,"オソ")</f>
        <v>0</v>
      </c>
      <c r="C60" s="13">
        <f>COUNTIF(C$4:C$51,"遅")+COUNTIF(C$4:C$51,"オソ")</f>
        <v>0</v>
      </c>
      <c r="D60" s="13">
        <f>COUNTIF(D$4:D$51,"遅")+COUNTIF(D$4:D$51,"オソ")</f>
        <v>0</v>
      </c>
      <c r="E60" s="13">
        <f>COUNTIF(E$4:E$51,"遅")+COUNTIF(E$4:E$51,"オソ")</f>
        <v>0</v>
      </c>
      <c r="F60" s="13">
        <f>COUNTIF(F$4:F$51,"遅")+COUNTIF(F$4:F$51,"オソ")</f>
        <v>0</v>
      </c>
      <c r="G60" s="13">
        <f>COUNTIF(G$4:G$51,"遅")+COUNTIF(G$4:G$51,"オソ")</f>
        <v>0</v>
      </c>
      <c r="H60" s="13">
        <f>COUNTIF(H$4:H$51,"遅")+COUNTIF(H$4:H$51,"オソ")</f>
        <v>0</v>
      </c>
      <c r="I60" s="13">
        <f>COUNTIF(I$4:I$51,"遅")+COUNTIF(I$4:I$51,"オソ")</f>
        <v>0</v>
      </c>
      <c r="J60" s="13">
        <f>COUNTIF(J$4:J$51,"遅")+COUNTIF(J$4:J$51,"オソ")</f>
        <v>0</v>
      </c>
      <c r="K60" s="13">
        <f>COUNTIF(K$4:K$51,"遅")+COUNTIF(K$4:K$51,"オソ")</f>
        <v>0</v>
      </c>
      <c r="L60" s="13">
        <f>COUNTIF(L$4:L$51,"遅")+COUNTIF(L$4:L$51,"オソ")</f>
        <v>0</v>
      </c>
      <c r="M60" s="13">
        <f>COUNTIF(M$4:M$51,"遅")+COUNTIF(M$4:M$51,"オソ")</f>
        <v>0</v>
      </c>
      <c r="N60" s="13">
        <f>COUNTIF(N$4:N$51,"遅")+COUNTIF(N$4:N$51,"オソ")</f>
        <v>0</v>
      </c>
      <c r="O60" s="13">
        <f>COUNTIF(O$4:O$51,"遅")+COUNTIF(O$4:O$51,"オソ")</f>
        <v>0</v>
      </c>
      <c r="P60" s="13">
        <f>COUNTIF(P$4:P$51,"遅")+COUNTIF(P$4:P$51,"オソ")</f>
        <v>0</v>
      </c>
      <c r="Q60" s="13">
        <f>COUNTIF(Q$4:Q$51,"遅")+COUNTIF(Q$4:Q$51,"オソ")</f>
        <v>0</v>
      </c>
      <c r="R60" s="13">
        <f>COUNTIF(R$4:R$51,"遅")+COUNTIF(R$4:R$51,"オソ")</f>
        <v>0</v>
      </c>
      <c r="S60" s="13">
        <f>COUNTIF(S$4:S$51,"遅")+COUNTIF(S$4:S$51,"オソ")</f>
        <v>0</v>
      </c>
      <c r="T60" s="13">
        <f>COUNTIF(T$4:T$51,"遅")+COUNTIF(T$4:T$51,"オソ")</f>
        <v>0</v>
      </c>
      <c r="U60" s="13">
        <f>COUNTIF(U$4:U$51,"遅")+COUNTIF(U$4:U$51,"オソ")</f>
        <v>0</v>
      </c>
      <c r="V60" s="13">
        <f>COUNTIF(V$4:V$51,"遅")+COUNTIF(V$4:V$51,"オソ")</f>
        <v>0</v>
      </c>
      <c r="W60" s="13">
        <f>COUNTIF(W$4:W$51,"遅")+COUNTIF(W$4:W$51,"オソ")</f>
        <v>0</v>
      </c>
      <c r="X60" s="13">
        <f>COUNTIF(X$4:X$51,"遅")+COUNTIF(X$4:X$51,"オソ")</f>
        <v>0</v>
      </c>
      <c r="Y60" s="13">
        <f>COUNTIF(Y$4:Y$51,"遅")+COUNTIF(Y$4:Y$51,"オソ")</f>
        <v>0</v>
      </c>
      <c r="Z60" s="13">
        <f>COUNTIF(Z$4:Z$51,"遅")+COUNTIF(Z$4:Z$51,"オソ")</f>
        <v>0</v>
      </c>
      <c r="AA60" s="13">
        <f>COUNTIF(AA$4:AA$51,"遅")+COUNTIF(AA$4:AA$51,"オソ")</f>
        <v>0</v>
      </c>
      <c r="AB60" s="13">
        <f>COUNTIF(AB$4:AB$51,"遅")+COUNTIF(AB$4:AB$51,"オソ")</f>
        <v>0</v>
      </c>
      <c r="AC60" s="13">
        <f>COUNTIF(AC$4:AC$51,"遅")+COUNTIF(AC$4:AC$51,"オソ")</f>
        <v>0</v>
      </c>
      <c r="AD60" s="13">
        <f>SUM(B60:AC60)</f>
        <v>0</v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-</t>
        </is>
      </c>
      <c r="AI60" s="13" t="inlineStr">
        <is>
          <t>-</t>
        </is>
      </c>
      <c r="AJ60" s="13" t="inlineStr">
        <is>
          <t>-</t>
        </is>
      </c>
      <c r="AK60" s="13" t="inlineStr">
        <is>
          <t>-</t>
        </is>
      </c>
    </row>
    <row r="61" ht="20" customHeight="1">
      <c r="A61" s="13" t="inlineStr">
        <is>
          <t>E</t>
        </is>
      </c>
      <c r="B61" s="13">
        <f>COUNTIF(B$4:B$51,"E")+COUNTIF(B$4:B$51,"イブ")</f>
        <v>0</v>
      </c>
      <c r="C61" s="13">
        <f>COUNTIF(C$4:C$51,"E")+COUNTIF(C$4:C$51,"イブ")</f>
        <v>0</v>
      </c>
      <c r="D61" s="13">
        <f>COUNTIF(D$4:D$51,"E")+COUNTIF(D$4:D$51,"イブ")</f>
        <v>0</v>
      </c>
      <c r="E61" s="13">
        <f>COUNTIF(E$4:E$51,"E")+COUNTIF(E$4:E$51,"イブ")</f>
        <v>0</v>
      </c>
      <c r="F61" s="13">
        <f>COUNTIF(F$4:F$51,"E")+COUNTIF(F$4:F$51,"イブ")</f>
        <v>0</v>
      </c>
      <c r="G61" s="13">
        <f>COUNTIF(G$4:G$51,"E")+COUNTIF(G$4:G$51,"イブ")</f>
        <v>0</v>
      </c>
      <c r="H61" s="13">
        <f>COUNTIF(H$4:H$51,"E")+COUNTIF(H$4:H$51,"イブ")</f>
        <v>0</v>
      </c>
      <c r="I61" s="13">
        <f>COUNTIF(I$4:I$51,"E")+COUNTIF(I$4:I$51,"イブ")</f>
        <v>0</v>
      </c>
      <c r="J61" s="13">
        <f>COUNTIF(J$4:J$51,"E")+COUNTIF(J$4:J$51,"イブ")</f>
        <v>0</v>
      </c>
      <c r="K61" s="13">
        <f>COUNTIF(K$4:K$51,"E")+COUNTIF(K$4:K$51,"イブ")</f>
        <v>0</v>
      </c>
      <c r="L61" s="13">
        <f>COUNTIF(L$4:L$51,"E")+COUNTIF(L$4:L$51,"イブ")</f>
        <v>0</v>
      </c>
      <c r="M61" s="13">
        <f>COUNTIF(M$4:M$51,"E")+COUNTIF(M$4:M$51,"イブ")</f>
        <v>0</v>
      </c>
      <c r="N61" s="13">
        <f>COUNTIF(N$4:N$51,"E")+COUNTIF(N$4:N$51,"イブ")</f>
        <v>0</v>
      </c>
      <c r="O61" s="13">
        <f>COUNTIF(O$4:O$51,"E")+COUNTIF(O$4:O$51,"イブ")</f>
        <v>0</v>
      </c>
      <c r="P61" s="13">
        <f>COUNTIF(P$4:P$51,"E")+COUNTIF(P$4:P$51,"イブ")</f>
        <v>0</v>
      </c>
      <c r="Q61" s="13">
        <f>COUNTIF(Q$4:Q$51,"E")+COUNTIF(Q$4:Q$51,"イブ")</f>
        <v>0</v>
      </c>
      <c r="R61" s="13">
        <f>COUNTIF(R$4:R$51,"E")+COUNTIF(R$4:R$51,"イブ")</f>
        <v>0</v>
      </c>
      <c r="S61" s="13">
        <f>COUNTIF(S$4:S$51,"E")+COUNTIF(S$4:S$51,"イブ")</f>
        <v>0</v>
      </c>
      <c r="T61" s="13">
        <f>COUNTIF(T$4:T$51,"E")+COUNTIF(T$4:T$51,"イブ")</f>
        <v>0</v>
      </c>
      <c r="U61" s="13">
        <f>COUNTIF(U$4:U$51,"E")+COUNTIF(U$4:U$51,"イブ")</f>
        <v>0</v>
      </c>
      <c r="V61" s="13">
        <f>COUNTIF(V$4:V$51,"E")+COUNTIF(V$4:V$51,"イブ")</f>
        <v>0</v>
      </c>
      <c r="W61" s="13">
        <f>COUNTIF(W$4:W$51,"E")+COUNTIF(W$4:W$51,"イブ")</f>
        <v>0</v>
      </c>
      <c r="X61" s="13">
        <f>COUNTIF(X$4:X$51,"E")+COUNTIF(X$4:X$51,"イブ")</f>
        <v>0</v>
      </c>
      <c r="Y61" s="13">
        <f>COUNTIF(Y$4:Y$51,"E")+COUNTIF(Y$4:Y$51,"イブ")</f>
        <v>0</v>
      </c>
      <c r="Z61" s="13">
        <f>COUNTIF(Z$4:Z$51,"E")+COUNTIF(Z$4:Z$51,"イブ")</f>
        <v>0</v>
      </c>
      <c r="AA61" s="13">
        <f>COUNTIF(AA$4:AA$51,"E")+COUNTIF(AA$4:AA$51,"イブ")</f>
        <v>0</v>
      </c>
      <c r="AB61" s="13">
        <f>COUNTIF(AB$4:AB$51,"E")+COUNTIF(AB$4:AB$51,"イブ")</f>
        <v>0</v>
      </c>
      <c r="AC61" s="13">
        <f>COUNTIF(AC$4:AC$51,"E")+COUNTIF(AC$4:AC$51,"イブ")</f>
        <v>0</v>
      </c>
      <c r="AD61" s="13">
        <f>SUM(B61:AC61)</f>
        <v>0</v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-</t>
        </is>
      </c>
      <c r="AI61" s="13" t="inlineStr">
        <is>
          <t>-</t>
        </is>
      </c>
      <c r="AJ61" s="13" t="inlineStr">
        <is>
          <t>-</t>
        </is>
      </c>
      <c r="AK61" s="13" t="inlineStr">
        <is>
          <t>-</t>
        </is>
      </c>
    </row>
    <row r="62" ht="20" customHeight="1">
      <c r="A62" s="13" t="inlineStr">
        <is>
          <t>8時</t>
        </is>
      </c>
      <c r="B62" s="13">
        <f>COUNTIF(B$4:B$51,"8時")</f>
        <v>0</v>
      </c>
      <c r="C62" s="13">
        <f>COUNTIF(C$4:C$51,"8時")</f>
        <v>0</v>
      </c>
      <c r="D62" s="13">
        <f>COUNTIF(D$4:D$51,"8時")</f>
        <v>0</v>
      </c>
      <c r="E62" s="13">
        <f>COUNTIF(E$4:E$51,"8時")</f>
        <v>0</v>
      </c>
      <c r="F62" s="13">
        <f>COUNTIF(F$4:F$51,"8時")</f>
        <v>0</v>
      </c>
      <c r="G62" s="13">
        <f>COUNTIF(G$4:G$51,"8時")</f>
        <v>0</v>
      </c>
      <c r="H62" s="13">
        <f>COUNTIF(H$4:H$51,"8時")</f>
        <v>0</v>
      </c>
      <c r="I62" s="13">
        <f>COUNTIF(I$4:I$51,"8時")</f>
        <v>0</v>
      </c>
      <c r="J62" s="13">
        <f>COUNTIF(J$4:J$51,"8時")</f>
        <v>0</v>
      </c>
      <c r="K62" s="13">
        <f>COUNTIF(K$4:K$51,"8時")</f>
        <v>0</v>
      </c>
      <c r="L62" s="13">
        <f>COUNTIF(L$4:L$51,"8時")</f>
        <v>0</v>
      </c>
      <c r="M62" s="13">
        <f>COUNTIF(M$4:M$51,"8時")</f>
        <v>0</v>
      </c>
      <c r="N62" s="13">
        <f>COUNTIF(N$4:N$51,"8時")</f>
        <v>0</v>
      </c>
      <c r="O62" s="13">
        <f>COUNTIF(O$4:O$51,"8時")</f>
        <v>0</v>
      </c>
      <c r="P62" s="13">
        <f>COUNTIF(P$4:P$51,"8時")</f>
        <v>0</v>
      </c>
      <c r="Q62" s="13">
        <f>COUNTIF(Q$4:Q$51,"8時")</f>
        <v>0</v>
      </c>
      <c r="R62" s="13">
        <f>COUNTIF(R$4:R$51,"8時")</f>
        <v>0</v>
      </c>
      <c r="S62" s="13">
        <f>COUNTIF(S$4:S$51,"8時")</f>
        <v>0</v>
      </c>
      <c r="T62" s="13">
        <f>COUNTIF(T$4:T$51,"8時")</f>
        <v>0</v>
      </c>
      <c r="U62" s="13">
        <f>COUNTIF(U$4:U$51,"8時")</f>
        <v>0</v>
      </c>
      <c r="V62" s="13">
        <f>COUNTIF(V$4:V$51,"8時")</f>
        <v>0</v>
      </c>
      <c r="W62" s="13">
        <f>COUNTIF(W$4:W$51,"8時")</f>
        <v>0</v>
      </c>
      <c r="X62" s="13">
        <f>COUNTIF(X$4:X$51,"8時")</f>
        <v>0</v>
      </c>
      <c r="Y62" s="13">
        <f>COUNTIF(Y$4:Y$51,"8時")</f>
        <v>0</v>
      </c>
      <c r="Z62" s="13">
        <f>COUNTIF(Z$4:Z$51,"8時")</f>
        <v>0</v>
      </c>
      <c r="AA62" s="13">
        <f>COUNTIF(AA$4:AA$51,"8時")</f>
        <v>0</v>
      </c>
      <c r="AB62" s="13">
        <f>COUNTIF(AB$4:AB$51,"8時")</f>
        <v>0</v>
      </c>
      <c r="AC62" s="13">
        <f>COUNTIF(AC$4:AC$51,"8時")</f>
        <v>0</v>
      </c>
      <c r="AD62" s="13">
        <f>SUM(B62:AC62)</f>
        <v>0</v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-</t>
        </is>
      </c>
      <c r="AI62" s="13" t="inlineStr">
        <is>
          <t>-</t>
        </is>
      </c>
      <c r="AJ62" s="13" t="inlineStr">
        <is>
          <t>-</t>
        </is>
      </c>
      <c r="AK62" s="13" t="inlineStr">
        <is>
          <t>-</t>
        </is>
      </c>
    </row>
  </sheetData>
  <pageMargins left="0.25" right="0.25" top="0.3" bottom="0.3" header="0.2" footer="0.2"/>
  <pageSetup paperSize="8" orientation="landscape" fitToWidth="1" fitToHeight="1"/>
</worksheet>
</file>