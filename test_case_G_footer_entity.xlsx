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COUNTIF(B4:AC4,"休")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COUNTIF(B5:AC5,"休")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COUNTIF(B6:AC6,"休")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COUNTIF(B7:AC7,"休")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COUNTIF(B8:AC8,"休")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COUNTIF(B9:AC9,"休")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COUNTIF(B10:AC10,"休")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COUNTIF(B11:AC11,"休")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COUNTIF(B12:AC12,"休")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COUNTIF(B13:AC13,"休")</f>
        <v>0</v>
      </c>
    </row>
    <row r="14">
      <c r="A14" s="9" t="inlineStr">
        <is>
          <t>出勤人数合計</t>
        </is>
      </c>
      <c r="B14" s="9">
        <f>COUNTIF(INDIRECT("B$4:B"&amp;(ROW()-1)),"〇")</f>
        <v>0</v>
      </c>
      <c r="C14" s="9">
        <f>COUNTIF(INDIRECT("C$4:C"&amp;(ROW()-1)),"〇")</f>
        <v>0</v>
      </c>
      <c r="D14" s="9">
        <f>COUNTIF(INDIRECT("D$4:D"&amp;(ROW()-1)),"〇")</f>
        <v>0</v>
      </c>
      <c r="E14" s="9">
        <f>COUNTIF(INDIRECT("E$4:E"&amp;(ROW()-1)),"〇")</f>
        <v>0</v>
      </c>
      <c r="F14" s="9">
        <f>COUNTIF(INDIRECT("F$4:F"&amp;(ROW()-1)),"〇")</f>
        <v>0</v>
      </c>
      <c r="G14" s="9">
        <f>COUNTIF(INDIRECT("G$4:G"&amp;(ROW()-1)),"〇")</f>
        <v>0</v>
      </c>
      <c r="H14" s="9">
        <f>COUNTIF(INDIRECT("H$4:H"&amp;(ROW()-1)),"〇")</f>
        <v>0</v>
      </c>
      <c r="I14" s="9">
        <f>COUNTIF(INDIRECT("I$4:I"&amp;(ROW()-1)),"〇")</f>
        <v>0</v>
      </c>
      <c r="J14" s="9">
        <f>COUNTIF(INDIRECT("J$4:J"&amp;(ROW()-1)),"〇")</f>
        <v>0</v>
      </c>
      <c r="K14" s="9">
        <f>COUNTIF(INDIRECT("K$4:K"&amp;(ROW()-1)),"〇")</f>
        <v>0</v>
      </c>
      <c r="L14" s="9">
        <f>COUNTIF(INDIRECT("L$4:L"&amp;(ROW()-1)),"〇")</f>
        <v>0</v>
      </c>
      <c r="M14" s="9">
        <f>COUNTIF(INDIRECT("M$4:M"&amp;(ROW()-1)),"〇")</f>
        <v>0</v>
      </c>
      <c r="N14" s="9">
        <f>COUNTIF(INDIRECT("N$4:N"&amp;(ROW()-1)),"〇")</f>
        <v>0</v>
      </c>
      <c r="O14" s="9">
        <f>COUNTIF(INDIRECT("O$4:O"&amp;(ROW()-1)),"〇")</f>
        <v>0</v>
      </c>
      <c r="P14" s="9">
        <f>COUNTIF(INDIRECT("P$4:P"&amp;(ROW()-1)),"〇")</f>
        <v>0</v>
      </c>
      <c r="Q14" s="9">
        <f>COUNTIF(INDIRECT("Q$4:Q"&amp;(ROW()-1)),"〇")</f>
        <v>0</v>
      </c>
      <c r="R14" s="9">
        <f>COUNTIF(INDIRECT("R$4:R"&amp;(ROW()-1)),"〇")</f>
        <v>0</v>
      </c>
      <c r="S14" s="9">
        <f>COUNTIF(INDIRECT("S$4:S"&amp;(ROW()-1)),"〇")</f>
        <v>0</v>
      </c>
      <c r="T14" s="9">
        <f>COUNTIF(INDIRECT("T$4:T"&amp;(ROW()-1)),"〇")</f>
        <v>0</v>
      </c>
      <c r="U14" s="9">
        <f>COUNTIF(INDIRECT("U$4:U"&amp;(ROW()-1)),"〇")</f>
        <v>0</v>
      </c>
      <c r="V14" s="9">
        <f>COUNTIF(INDIRECT("V$4:V"&amp;(ROW()-1)),"〇")</f>
        <v>0</v>
      </c>
      <c r="W14" s="9">
        <f>COUNTIF(INDIRECT("W$4:W"&amp;(ROW()-1)),"〇")</f>
        <v>0</v>
      </c>
      <c r="X14" s="9">
        <f>COUNTIF(INDIRECT("X$4:X"&amp;(ROW()-1)),"〇")</f>
        <v>0</v>
      </c>
      <c r="Y14" s="9">
        <f>COUNTIF(INDIRECT("Y$4:Y"&amp;(ROW()-1)),"〇")</f>
        <v>0</v>
      </c>
      <c r="Z14" s="9">
        <f>COUNTIF(INDIRECT("Z$4:Z"&amp;(ROW()-1)),"〇")</f>
        <v>0</v>
      </c>
      <c r="AA14" s="9">
        <f>COUNTIF(INDIRECT("AA$4:AA"&amp;(ROW()-1)),"〇")</f>
        <v>0</v>
      </c>
      <c r="AB14" s="9">
        <f>COUNTIF(INDIRECT("AB$4:AB"&amp;(ROW()-1)),"〇")</f>
        <v>0</v>
      </c>
      <c r="AC14" s="9">
        <f>COUNTIF(INDIRECT("AC$4:AC"&amp;(ROW()-1)),"〇")</f>
        <v>0</v>
      </c>
    </row>
  </sheetData>
  <pageMargins left="0.25" right="0.25" top="0.3" bottom="0.3" header="0.2" footer="0.2"/>
  <pageSetup paperSize="8" orientation="landscape" fitToWidth="1" fitToHeight="1"/>
</worksheet>
</file>